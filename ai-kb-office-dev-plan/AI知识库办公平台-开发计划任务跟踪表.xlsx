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任务总表" sheetId="2" state="visible" r:id="rId4"/>
    <sheet name="阶段概览" sheetId="3" state="visible" r:id="rId5"/>
    <sheet name="里程碑" sheetId="4" state="visible" r:id="rId6"/>
  </sheets>
  <definedNames>
    <definedName function="false" hidden="true" localSheetId="1" name="_xlnm._FilterDatabase" vbProcedure="false">任务总表!$A$1:$K$44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<sst xmlns="http://schemas.openxmlformats.org/spreadsheetml/2006/main" count="407" uniqueCount="219">
  <si>
    <r>
      <rPr>
        <b val="true"/>
        <sz val="16"/>
        <color rgb="FF1F2A44"/>
        <rFont val="Arial"/>
        <family val="0"/>
        <charset val="1"/>
      </rPr>
      <t xml:space="preserve">AI </t>
    </r>
    <r>
      <rPr>
        <b val="true"/>
        <sz val="16"/>
        <color rgb="FF1F2A44"/>
        <rFont val="Noto Sans CJK SC"/>
        <family val="2"/>
      </rPr>
      <t xml:space="preserve">知识库办公平台 </t>
    </r>
    <r>
      <rPr>
        <b val="true"/>
        <sz val="16"/>
        <color rgb="FF1F2A44"/>
        <rFont val="Arial"/>
        <family val="0"/>
        <charset val="1"/>
      </rPr>
      <t xml:space="preserve">· </t>
    </r>
    <r>
      <rPr>
        <b val="true"/>
        <sz val="16"/>
        <color rgb="FF1F2A44"/>
        <rFont val="Noto Sans CJK SC"/>
        <family val="2"/>
      </rPr>
      <t xml:space="preserve">开发计划任务跟踪表</t>
    </r>
  </si>
  <si>
    <r>
      <rPr>
        <sz val="10"/>
        <color rgb="FF40485A"/>
        <rFont val="Noto Sans CJK SC"/>
        <family val="2"/>
      </rPr>
      <t xml:space="preserve">配套文件：《</t>
    </r>
    <r>
      <rPr>
        <sz val="10"/>
        <color rgb="FF40485A"/>
        <rFont val="Arial"/>
        <family val="0"/>
        <charset val="1"/>
      </rPr>
      <t xml:space="preserve">AI </t>
    </r>
    <r>
      <rPr>
        <sz val="10"/>
        <color rgb="FF40485A"/>
        <rFont val="Noto Sans CJK SC"/>
        <family val="2"/>
      </rPr>
      <t xml:space="preserve">知识库办公平台 </t>
    </r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开发计划》（</t>
    </r>
    <r>
      <rPr>
        <sz val="10"/>
        <color rgb="FF40485A"/>
        <rFont val="Arial"/>
        <family val="0"/>
        <charset val="1"/>
      </rPr>
      <t xml:space="preserve">HTML</t>
    </r>
    <r>
      <rPr>
        <sz val="10"/>
        <color rgb="FF40485A"/>
        <rFont val="Noto Sans CJK SC"/>
        <family val="2"/>
      </rPr>
      <t xml:space="preserve">）。两文件任务编号一致，可对照使用。</t>
    </r>
  </si>
  <si>
    <t xml:space="preserve">工作表说明</t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</si>
  <si>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任务总表：全部 </t>
    </r>
    <r>
      <rPr>
        <sz val="10"/>
        <color rgb="FF40485A"/>
        <rFont val="Arial"/>
        <family val="0"/>
        <charset val="1"/>
      </rPr>
      <t xml:space="preserve">43 </t>
    </r>
    <r>
      <rPr>
        <sz val="10"/>
        <color rgb="FF40485A"/>
        <rFont val="Noto Sans CJK SC"/>
        <family val="2"/>
      </rPr>
      <t xml:space="preserve">项任务（阶段 </t>
    </r>
    <r>
      <rPr>
        <sz val="10"/>
        <color rgb="FF40485A"/>
        <rFont val="Arial"/>
        <family val="0"/>
        <charset val="1"/>
      </rPr>
      <t xml:space="preserve">0–6 </t>
    </r>
    <r>
      <rPr>
        <sz val="10"/>
        <color rgb="FF40485A"/>
        <rFont val="Noto Sans CJK SC"/>
        <family val="2"/>
      </rPr>
      <t xml:space="preserve">共 </t>
    </r>
    <r>
      <rPr>
        <sz val="10"/>
        <color rgb="FF40485A"/>
        <rFont val="Arial"/>
        <family val="0"/>
        <charset val="1"/>
      </rPr>
      <t xml:space="preserve">39 </t>
    </r>
    <r>
      <rPr>
        <sz val="10"/>
        <color rgb="FF40485A"/>
        <rFont val="Noto Sans CJK SC"/>
        <family val="2"/>
      </rPr>
      <t xml:space="preserve">项 </t>
    </r>
    <r>
      <rPr>
        <sz val="10"/>
        <color rgb="FF40485A"/>
        <rFont val="Arial"/>
        <family val="0"/>
        <charset val="1"/>
      </rPr>
      <t xml:space="preserve">+ </t>
    </r>
    <r>
      <rPr>
        <sz val="10"/>
        <color rgb="FF40485A"/>
        <rFont val="Noto Sans CJK SC"/>
        <family val="2"/>
      </rPr>
      <t xml:space="preserve">横向 </t>
    </r>
    <r>
      <rPr>
        <sz val="10"/>
        <color rgb="FF40485A"/>
        <rFont val="Arial"/>
        <family val="0"/>
        <charset val="1"/>
      </rPr>
      <t xml:space="preserve">4 </t>
    </r>
    <r>
      <rPr>
        <sz val="10"/>
        <color rgb="FF40485A"/>
        <rFont val="Noto Sans CJK SC"/>
        <family val="2"/>
      </rPr>
      <t xml:space="preserve">项），可逐项填写状态与负责人。</t>
    </r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</si>
  <si>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阶段概览：按阶段汇总任务数与估算人日；人数与人日由公式实时取自「任务总表」，改任务即自动更新。</t>
    </r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</si>
  <si>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里程碑：</t>
    </r>
    <r>
      <rPr>
        <sz val="10"/>
        <color rgb="FF40485A"/>
        <rFont val="Arial"/>
        <family val="0"/>
        <charset val="1"/>
      </rPr>
      <t xml:space="preserve">M0–M6 </t>
    </r>
    <r>
      <rPr>
        <sz val="10"/>
        <color rgb="FF40485A"/>
        <rFont val="Noto Sans CJK SC"/>
        <family val="2"/>
      </rPr>
      <t xml:space="preserve">的完成标志（可验收）与对应阶段门（</t>
    </r>
    <r>
      <rPr>
        <sz val="10"/>
        <color rgb="FF40485A"/>
        <rFont val="Arial"/>
        <family val="0"/>
        <charset val="1"/>
      </rPr>
      <t xml:space="preserve">Gate</t>
    </r>
    <r>
      <rPr>
        <sz val="10"/>
        <color rgb="FF40485A"/>
        <rFont val="Noto Sans CJK SC"/>
        <family val="2"/>
      </rPr>
      <t xml:space="preserve">）。</t>
    </r>
  </si>
  <si>
    <t xml:space="preserve">填写说明</t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</si>
  <si>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状态列可在下拉框中选择：未开始 </t>
    </r>
    <r>
      <rPr>
        <sz val="10"/>
        <color rgb="FF40485A"/>
        <rFont val="Arial"/>
        <family val="0"/>
        <charset val="1"/>
      </rPr>
      <t xml:space="preserve">/ </t>
    </r>
    <r>
      <rPr>
        <sz val="10"/>
        <color rgb="FF40485A"/>
        <rFont val="Noto Sans CJK SC"/>
        <family val="2"/>
      </rPr>
      <t xml:space="preserve">进行中 </t>
    </r>
    <r>
      <rPr>
        <sz val="10"/>
        <color rgb="FF40485A"/>
        <rFont val="Arial"/>
        <family val="0"/>
        <charset val="1"/>
      </rPr>
      <t xml:space="preserve">/ </t>
    </r>
    <r>
      <rPr>
        <sz val="10"/>
        <color rgb="FF40485A"/>
        <rFont val="Noto Sans CJK SC"/>
        <family val="2"/>
      </rPr>
      <t xml:space="preserve">已完成 </t>
    </r>
    <r>
      <rPr>
        <sz val="10"/>
        <color rgb="FF40485A"/>
        <rFont val="Arial"/>
        <family val="0"/>
        <charset val="1"/>
      </rPr>
      <t xml:space="preserve">/ </t>
    </r>
    <r>
      <rPr>
        <sz val="10"/>
        <color rgb="FF40485A"/>
        <rFont val="Noto Sans CJK SC"/>
        <family val="2"/>
      </rPr>
      <t xml:space="preserve">已验收。</t>
    </r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</si>
  <si>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验收以「里程碑完成标志」为准：不因「代码写完」判定完成，须实际操作验证通过。</t>
    </r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</si>
  <si>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估算人日为规划参考值，非工期承诺；实施主体确定后可在「负责人」列补齐分工。</t>
    </r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</si>
  <si>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阶段之间为强依赖，默认顺序推进；横向工作随阶段并行插入。</t>
    </r>
  </si>
  <si>
    <t xml:space="preserve">推进建议</t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</si>
  <si>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从 </t>
    </r>
    <r>
      <rPr>
        <sz val="10"/>
        <color rgb="FF40485A"/>
        <rFont val="Arial"/>
        <family val="0"/>
        <charset val="1"/>
      </rPr>
      <t xml:space="preserve">T0.1 </t>
    </r>
    <r>
      <rPr>
        <sz val="10"/>
        <color rgb="FF40485A"/>
        <rFont val="Noto Sans CJK SC"/>
        <family val="2"/>
      </rPr>
      <t xml:space="preserve">初始化代码仓库开始；每完成一个阶段即做一次阶段门检查，不带着问题进入下一阶段。</t>
    </r>
  </si>
  <si>
    <r>
      <rPr>
        <sz val="10"/>
        <color rgb="FF40485A"/>
        <rFont val="Arial"/>
        <family val="0"/>
        <charset val="1"/>
      </rPr>
      <t xml:space="preserve">· </t>
    </r>
    <r>
      <rPr>
        <sz val="10"/>
        <color rgb="FF40485A"/>
        <rFont val="Noto Sans CJK SC"/>
        <family val="2"/>
      </rPr>
      <t xml:space="preserve">建议把本表任务录入平台自身的任务模块，用「任务中心 </t>
    </r>
    <r>
      <rPr>
        <sz val="10"/>
        <color rgb="FF40485A"/>
        <rFont val="Arial"/>
        <family val="0"/>
        <charset val="1"/>
      </rPr>
      <t xml:space="preserve">+ </t>
    </r>
    <r>
      <rPr>
        <sz val="10"/>
        <color rgb="FF40485A"/>
        <rFont val="Noto Sans CJK SC"/>
        <family val="2"/>
      </rPr>
      <t xml:space="preserve">综合看板」管理这 </t>
    </r>
    <r>
      <rPr>
        <sz val="10"/>
        <color rgb="FF40485A"/>
        <rFont val="Arial"/>
        <family val="0"/>
        <charset val="1"/>
      </rPr>
      <t xml:space="preserve">40 </t>
    </r>
    <r>
      <rPr>
        <sz val="10"/>
        <color rgb="FF40485A"/>
        <rFont val="Noto Sans CJK SC"/>
        <family val="2"/>
      </rPr>
      <t xml:space="preserve">项任务。</t>
    </r>
  </si>
  <si>
    <t xml:space="preserve">序号</t>
  </si>
  <si>
    <t xml:space="preserve">任务编号</t>
  </si>
  <si>
    <t xml:space="preserve">阶段</t>
  </si>
  <si>
    <t xml:space="preserve">里程碑</t>
  </si>
  <si>
    <t xml:space="preserve">任务名称</t>
  </si>
  <si>
    <t xml:space="preserve">前置依赖</t>
  </si>
  <si>
    <t xml:space="preserve">交付物与验收标准</t>
  </si>
  <si>
    <t xml:space="preserve">估算人日</t>
  </si>
  <si>
    <t xml:space="preserve">状态</t>
  </si>
  <si>
    <t xml:space="preserve">负责人</t>
  </si>
  <si>
    <t xml:space="preserve">备注</t>
  </si>
  <si>
    <t xml:space="preserve">T0.1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</si>
  <si>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0</t>
    </r>
  </si>
  <si>
    <t xml:space="preserve">M0</t>
  </si>
  <si>
    <t xml:space="preserve">初始化代码仓库与目录结构</t>
  </si>
  <si>
    <t xml:space="preserve">—</t>
  </si>
  <si>
    <r>
      <rPr>
        <sz val="10"/>
        <color rgb="FF15171C"/>
        <rFont val="Arial"/>
        <family val="0"/>
        <charset val="1"/>
      </rPr>
      <t xml:space="preserve">backend / frontend / storage </t>
    </r>
    <r>
      <rPr>
        <sz val="10"/>
        <color rgb="FF15171C"/>
        <rFont val="Noto Sans CJK SC"/>
        <family val="2"/>
      </rPr>
      <t xml:space="preserve">目录落地，可按设计文档目录结构对应</t>
    </r>
  </si>
  <si>
    <t xml:space="preserve">未开始</t>
  </si>
  <si>
    <t xml:space="preserve">T0.2</t>
  </si>
  <si>
    <r>
      <rPr>
        <sz val="10"/>
        <color rgb="FF15171C"/>
        <rFont val="Noto Sans CJK SC"/>
        <family val="2"/>
      </rPr>
      <t xml:space="preserve">编写 </t>
    </r>
    <r>
      <rPr>
        <sz val="10"/>
        <color rgb="FF15171C"/>
        <rFont val="Arial"/>
        <family val="0"/>
        <charset val="1"/>
      </rPr>
      <t xml:space="preserve">Docker Compose</t>
    </r>
    <r>
      <rPr>
        <sz val="10"/>
        <color rgb="FF15171C"/>
        <rFont val="Noto Sans CJK SC"/>
        <family val="2"/>
      </rPr>
      <t xml:space="preserve">（</t>
    </r>
    <r>
      <rPr>
        <sz val="10"/>
        <color rgb="FF15171C"/>
        <rFont val="Arial"/>
        <family val="0"/>
        <charset val="1"/>
      </rPr>
      <t xml:space="preserve">PostgreSQL + pgvector</t>
    </r>
    <r>
      <rPr>
        <sz val="10"/>
        <color rgb="FF15171C"/>
        <rFont val="Noto Sans CJK SC"/>
        <family val="2"/>
      </rPr>
      <t xml:space="preserve">）</t>
    </r>
  </si>
  <si>
    <r>
      <rPr>
        <sz val="10"/>
        <color rgb="FF15171C"/>
        <rFont val="Noto Sans CJK SC"/>
        <family val="2"/>
      </rPr>
      <t xml:space="preserve">一条命令可拉起含 </t>
    </r>
    <r>
      <rPr>
        <sz val="10"/>
        <color rgb="FF15171C"/>
        <rFont val="Arial"/>
        <family val="0"/>
        <charset val="1"/>
      </rPr>
      <t xml:space="preserve">pgvector </t>
    </r>
    <r>
      <rPr>
        <sz val="10"/>
        <color rgb="FF15171C"/>
        <rFont val="Noto Sans CJK SC"/>
        <family val="2"/>
      </rPr>
      <t xml:space="preserve">的数据库并连通</t>
    </r>
  </si>
  <si>
    <t xml:space="preserve">T0.3</t>
  </si>
  <si>
    <r>
      <rPr>
        <sz val="10"/>
        <color rgb="FF15171C"/>
        <rFont val="Noto Sans CJK SC"/>
        <family val="2"/>
      </rPr>
      <t xml:space="preserve">搭建 </t>
    </r>
    <r>
      <rPr>
        <sz val="10"/>
        <color rgb="FF15171C"/>
        <rFont val="Arial"/>
        <family val="0"/>
        <charset val="1"/>
      </rPr>
      <t xml:space="preserve">FastAPI </t>
    </r>
    <r>
      <rPr>
        <sz val="10"/>
        <color rgb="FF15171C"/>
        <rFont val="Noto Sans CJK SC"/>
        <family val="2"/>
      </rPr>
      <t xml:space="preserve">后端脚手架</t>
    </r>
  </si>
  <si>
    <t xml:space="preserve">配置、日志、健康检查接口可用</t>
  </si>
  <si>
    <t xml:space="preserve">T0.4</t>
  </si>
  <si>
    <r>
      <rPr>
        <sz val="10"/>
        <color rgb="FF15171C"/>
        <rFont val="Noto Sans CJK SC"/>
        <family val="2"/>
      </rPr>
      <t xml:space="preserve">搭建 </t>
    </r>
    <r>
      <rPr>
        <sz val="10"/>
        <color rgb="FF15171C"/>
        <rFont val="Arial"/>
        <family val="0"/>
        <charset val="1"/>
      </rPr>
      <t xml:space="preserve">React + TS + Vite </t>
    </r>
    <r>
      <rPr>
        <sz val="10"/>
        <color rgb="FF15171C"/>
        <rFont val="Noto Sans CJK SC"/>
        <family val="2"/>
      </rPr>
      <t xml:space="preserve">前端脚手架</t>
    </r>
  </si>
  <si>
    <r>
      <rPr>
        <sz val="10"/>
        <color rgb="FF15171C"/>
        <rFont val="Arial"/>
        <family val="0"/>
        <charset val="1"/>
      </rPr>
      <t xml:space="preserve">Ant Design </t>
    </r>
    <r>
      <rPr>
        <sz val="10"/>
        <color rgb="FF15171C"/>
        <rFont val="Noto Sans CJK SC"/>
        <family val="2"/>
      </rPr>
      <t xml:space="preserve">接入，页面可启动访问</t>
    </r>
  </si>
  <si>
    <t xml:space="preserve">T0.5</t>
  </si>
  <si>
    <r>
      <rPr>
        <sz val="10"/>
        <color rgb="FF15171C"/>
        <rFont val="Noto Sans CJK SC"/>
        <family val="2"/>
      </rPr>
      <t xml:space="preserve">接入数据库迁移框架（</t>
    </r>
    <r>
      <rPr>
        <sz val="10"/>
        <color rgb="FF15171C"/>
        <rFont val="Arial"/>
        <family val="0"/>
        <charset val="1"/>
      </rPr>
      <t xml:space="preserve">Alembic</t>
    </r>
    <r>
      <rPr>
        <sz val="10"/>
        <color rgb="FF15171C"/>
        <rFont val="Noto Sans CJK SC"/>
        <family val="2"/>
      </rPr>
      <t xml:space="preserve">）</t>
    </r>
  </si>
  <si>
    <t xml:space="preserve">T0.2, T0.3</t>
  </si>
  <si>
    <t xml:space="preserve">迁移可执行、可回滚，空库可初始化</t>
  </si>
  <si>
    <t xml:space="preserve">T0.6</t>
  </si>
  <si>
    <r>
      <rPr>
        <sz val="10"/>
        <color rgb="FF15171C"/>
        <rFont val="Noto Sans CJK SC"/>
        <family val="2"/>
      </rPr>
      <t xml:space="preserve">大模型连通性验证（</t>
    </r>
    <r>
      <rPr>
        <sz val="10"/>
        <color rgb="FF15171C"/>
        <rFont val="Arial"/>
        <family val="0"/>
        <charset val="1"/>
      </rPr>
      <t xml:space="preserve">Provider </t>
    </r>
    <r>
      <rPr>
        <sz val="10"/>
        <color rgb="FF15171C"/>
        <rFont val="Noto Sans CJK SC"/>
        <family val="2"/>
      </rPr>
      <t xml:space="preserve">抽象层雏形）</t>
    </r>
  </si>
  <si>
    <t xml:space="preserve">能成功调用一次本地或云端模型并返回结果</t>
  </si>
  <si>
    <t xml:space="preserve">T1.1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</si>
  <si>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1</t>
    </r>
  </si>
  <si>
    <t xml:space="preserve">M1</t>
  </si>
  <si>
    <r>
      <rPr>
        <sz val="10"/>
        <color rgb="FF15171C"/>
        <rFont val="Noto Sans CJK SC"/>
        <family val="2"/>
      </rPr>
      <t xml:space="preserve">落地核心数据模型（人员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企业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业务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会议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文件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记事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标签）</t>
    </r>
  </si>
  <si>
    <r>
      <rPr>
        <sz val="10"/>
        <color rgb="FF15171C"/>
        <rFont val="Noto Sans CJK SC"/>
        <family val="2"/>
      </rPr>
      <t xml:space="preserve">表结构迁移可执行，字段与开发文档第 </t>
    </r>
    <r>
      <rPr>
        <sz val="10"/>
        <color rgb="FF15171C"/>
        <rFont val="Arial"/>
        <family val="0"/>
        <charset val="1"/>
      </rPr>
      <t xml:space="preserve">3 </t>
    </r>
    <r>
      <rPr>
        <sz val="10"/>
        <color rgb="FF15171C"/>
        <rFont val="Noto Sans CJK SC"/>
        <family val="2"/>
      </rPr>
      <t xml:space="preserve">章一致</t>
    </r>
  </si>
  <si>
    <t xml:space="preserve">T1.2</t>
  </si>
  <si>
    <t xml:space="preserve">文件上传与对象存储管理</t>
  </si>
  <si>
    <r>
      <rPr>
        <sz val="10"/>
        <color rgb="FF15171C"/>
        <rFont val="Noto Sans CJK SC"/>
        <family val="2"/>
      </rPr>
      <t xml:space="preserve">文件可上传、查看、下载；路径写入 </t>
    </r>
    <r>
      <rPr>
        <sz val="10"/>
        <color rgb="FF15171C"/>
        <rFont val="Arial"/>
        <family val="0"/>
        <charset val="1"/>
      </rPr>
      <t xml:space="preserve">document </t>
    </r>
    <r>
      <rPr>
        <sz val="10"/>
        <color rgb="FF15171C"/>
        <rFont val="Noto Sans CJK SC"/>
        <family val="2"/>
      </rPr>
      <t xml:space="preserve">表</t>
    </r>
  </si>
  <si>
    <t xml:space="preserve">T1.3</t>
  </si>
  <si>
    <r>
      <rPr>
        <sz val="10"/>
        <color rgb="FF15171C"/>
        <rFont val="Noto Sans CJK SC"/>
        <family val="2"/>
      </rPr>
      <t xml:space="preserve">各类信息录入表单（人员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企业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业务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会议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记事）</t>
    </r>
  </si>
  <si>
    <t xml:space="preserve">五类信息均可新增与编辑，表单校验有效</t>
  </si>
  <si>
    <t xml:space="preserve">T1.4</t>
  </si>
  <si>
    <t xml:space="preserve">列表、检索与详情页</t>
  </si>
  <si>
    <t xml:space="preserve">各类信息可列表、按关键词检索、查看详情</t>
  </si>
  <si>
    <t xml:space="preserve">T1.5</t>
  </si>
  <si>
    <t xml:space="preserve">实体关联与引用（会议↔人员、业务↔企业等）</t>
  </si>
  <si>
    <t xml:space="preserve">可建立并查看关联，关联关系可持久化</t>
  </si>
  <si>
    <t xml:space="preserve">T1.6</t>
  </si>
  <si>
    <t xml:space="preserve">后端接口与前端联调收口</t>
  </si>
  <si>
    <t xml:space="preserve">T1.1–T1.5</t>
  </si>
  <si>
    <t xml:space="preserve">前后端联调通过；重启后数据不丢失</t>
  </si>
  <si>
    <t xml:space="preserve">T2.1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</si>
  <si>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2</t>
    </r>
  </si>
  <si>
    <t xml:space="preserve">M2</t>
  </si>
  <si>
    <r>
      <rPr>
        <sz val="10"/>
        <color rgb="FF15171C"/>
        <rFont val="Noto Sans CJK SC"/>
        <family val="2"/>
      </rPr>
      <t xml:space="preserve">文档解析流水线（</t>
    </r>
    <r>
      <rPr>
        <sz val="10"/>
        <color rgb="FF15171C"/>
        <rFont val="Arial"/>
        <family val="0"/>
        <charset val="1"/>
      </rPr>
      <t xml:space="preserve">PDF / Word / Excel</t>
    </r>
    <r>
      <rPr>
        <sz val="10"/>
        <color rgb="FF15171C"/>
        <rFont val="Noto Sans CJK SC"/>
        <family val="2"/>
      </rPr>
      <t xml:space="preserve">）</t>
    </r>
  </si>
  <si>
    <t xml:space="preserve">三类文件均能抽出文本与表格</t>
  </si>
  <si>
    <t xml:space="preserve">T2.2</t>
  </si>
  <si>
    <r>
      <rPr>
        <sz val="10"/>
        <color rgb="FF15171C"/>
        <rFont val="Noto Sans CJK SC"/>
        <family val="2"/>
      </rPr>
      <t xml:space="preserve">扫描件 </t>
    </r>
    <r>
      <rPr>
        <sz val="10"/>
        <color rgb="FF15171C"/>
        <rFont val="Arial"/>
        <family val="0"/>
        <charset val="1"/>
      </rPr>
      <t xml:space="preserve">/ </t>
    </r>
    <r>
      <rPr>
        <sz val="10"/>
        <color rgb="FF15171C"/>
        <rFont val="Noto Sans CJK SC"/>
        <family val="2"/>
      </rPr>
      <t xml:space="preserve">图片 </t>
    </r>
    <r>
      <rPr>
        <sz val="10"/>
        <color rgb="FF15171C"/>
        <rFont val="Arial"/>
        <family val="0"/>
        <charset val="1"/>
      </rPr>
      <t xml:space="preserve">OCR</t>
    </r>
  </si>
  <si>
    <r>
      <rPr>
        <sz val="10"/>
        <color rgb="FF15171C"/>
        <rFont val="Noto Sans CJK SC"/>
        <family val="2"/>
      </rPr>
      <t xml:space="preserve">图片与扫描 </t>
    </r>
    <r>
      <rPr>
        <sz val="10"/>
        <color rgb="FF15171C"/>
        <rFont val="Arial"/>
        <family val="0"/>
        <charset val="1"/>
      </rPr>
      <t xml:space="preserve">PDF </t>
    </r>
    <r>
      <rPr>
        <sz val="10"/>
        <color rgb="FF15171C"/>
        <rFont val="Noto Sans CJK SC"/>
        <family val="2"/>
      </rPr>
      <t xml:space="preserve">的文字可被抽取</t>
    </r>
  </si>
  <si>
    <t xml:space="preserve">T2.3</t>
  </si>
  <si>
    <t xml:space="preserve">切分策略与元数据标注</t>
  </si>
  <si>
    <r>
      <rPr>
        <sz val="10"/>
        <color rgb="FF15171C"/>
        <rFont val="Noto Sans CJK SC"/>
        <family val="2"/>
      </rPr>
      <t xml:space="preserve">按标题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段落切分，保留来源与页码元数据</t>
    </r>
  </si>
  <si>
    <t xml:space="preserve">T2.4</t>
  </si>
  <si>
    <r>
      <rPr>
        <sz val="10"/>
        <color rgb="FF15171C"/>
        <rFont val="Noto Sans CJK SC"/>
        <family val="2"/>
      </rPr>
      <t xml:space="preserve">嵌入模型接入与向量化入库（</t>
    </r>
    <r>
      <rPr>
        <sz val="10"/>
        <color rgb="FF15171C"/>
        <rFont val="Arial"/>
        <family val="0"/>
        <charset val="1"/>
      </rPr>
      <t xml:space="preserve">pgvector</t>
    </r>
    <r>
      <rPr>
        <sz val="10"/>
        <color rgb="FF15171C"/>
        <rFont val="Noto Sans CJK SC"/>
        <family val="2"/>
      </rPr>
      <t xml:space="preserve">）</t>
    </r>
  </si>
  <si>
    <r>
      <rPr>
        <sz val="10"/>
        <color rgb="FF15171C"/>
        <rFont val="Noto Sans CJK SC"/>
        <family val="2"/>
      </rPr>
      <t xml:space="preserve">知识片段写入向量库，</t>
    </r>
    <r>
      <rPr>
        <sz val="10"/>
        <color rgb="FF15171C"/>
        <rFont val="Arial"/>
        <family val="0"/>
        <charset val="1"/>
      </rPr>
      <t xml:space="preserve">HNSW </t>
    </r>
    <r>
      <rPr>
        <sz val="10"/>
        <color rgb="FF15171C"/>
        <rFont val="Noto Sans CJK SC"/>
        <family val="2"/>
      </rPr>
      <t xml:space="preserve">索引建立</t>
    </r>
  </si>
  <si>
    <t xml:space="preserve">T2.5</t>
  </si>
  <si>
    <r>
      <rPr>
        <sz val="10"/>
        <color rgb="FF15171C"/>
        <rFont val="Noto Sans CJK SC"/>
        <family val="2"/>
      </rPr>
      <t xml:space="preserve">混合检索（向量 </t>
    </r>
    <r>
      <rPr>
        <sz val="10"/>
        <color rgb="FF15171C"/>
        <rFont val="Arial"/>
        <family val="0"/>
        <charset val="1"/>
      </rPr>
      <t xml:space="preserve">+ </t>
    </r>
    <r>
      <rPr>
        <sz val="10"/>
        <color rgb="FF15171C"/>
        <rFont val="Noto Sans CJK SC"/>
        <family val="2"/>
      </rPr>
      <t xml:space="preserve">全文）与 </t>
    </r>
    <r>
      <rPr>
        <sz val="10"/>
        <color rgb="FF15171C"/>
        <rFont val="Arial"/>
        <family val="0"/>
        <charset val="1"/>
      </rPr>
      <t xml:space="preserve">RRF </t>
    </r>
    <r>
      <rPr>
        <sz val="10"/>
        <color rgb="FF15171C"/>
        <rFont val="Noto Sans CJK SC"/>
        <family val="2"/>
      </rPr>
      <t xml:space="preserve">融合</t>
    </r>
  </si>
  <si>
    <r>
      <rPr>
        <sz val="10"/>
        <color rgb="FF15171C"/>
        <rFont val="Noto Sans CJK SC"/>
        <family val="2"/>
      </rPr>
      <t xml:space="preserve">两路召回可融合，</t>
    </r>
    <r>
      <rPr>
        <sz val="10"/>
        <color rgb="FF15171C"/>
        <rFont val="Arial"/>
        <family val="0"/>
        <charset val="1"/>
      </rPr>
      <t xml:space="preserve">Top-N </t>
    </r>
    <r>
      <rPr>
        <sz val="10"/>
        <color rgb="FF15171C"/>
        <rFont val="Noto Sans CJK SC"/>
        <family val="2"/>
      </rPr>
      <t xml:space="preserve">结果合理</t>
    </r>
  </si>
  <si>
    <t xml:space="preserve">T2.6</t>
  </si>
  <si>
    <t xml:space="preserve">重排模型接入</t>
  </si>
  <si>
    <t xml:space="preserve">重排后相关片段排序明显改善</t>
  </si>
  <si>
    <t xml:space="preserve">T2.7</t>
  </si>
  <si>
    <r>
      <rPr>
        <sz val="10"/>
        <color rgb="FF15171C"/>
        <rFont val="Noto Sans CJK SC"/>
        <family val="2"/>
      </rPr>
      <t xml:space="preserve">对话接口 </t>
    </r>
    <r>
      <rPr>
        <sz val="10"/>
        <color rgb="FF15171C"/>
        <rFont val="Arial"/>
        <family val="0"/>
        <charset val="1"/>
      </rPr>
      <t xml:space="preserve">+ </t>
    </r>
    <r>
      <rPr>
        <sz val="10"/>
        <color rgb="FF15171C"/>
        <rFont val="Noto Sans CJK SC"/>
        <family val="2"/>
      </rPr>
      <t xml:space="preserve">引用溯源 </t>
    </r>
    <r>
      <rPr>
        <sz val="10"/>
        <color rgb="FF15171C"/>
        <rFont val="Arial"/>
        <family val="0"/>
        <charset val="1"/>
      </rPr>
      <t xml:space="preserve">+ </t>
    </r>
    <r>
      <rPr>
        <sz val="10"/>
        <color rgb="FF15171C"/>
        <rFont val="Noto Sans CJK SC"/>
        <family val="2"/>
      </rPr>
      <t xml:space="preserve">约束性 </t>
    </r>
    <r>
      <rPr>
        <sz val="10"/>
        <color rgb="FF15171C"/>
        <rFont val="Arial"/>
        <family val="0"/>
        <charset val="1"/>
      </rPr>
      <t xml:space="preserve">system prompt</t>
    </r>
  </si>
  <si>
    <t xml:space="preserve">答案带来源；无依据时明确说明「无相关信息」</t>
  </si>
  <si>
    <t xml:space="preserve">T2.8</t>
  </si>
  <si>
    <r>
      <rPr>
        <sz val="10"/>
        <color rgb="FF15171C"/>
        <rFont val="Noto Sans CJK SC"/>
        <family val="2"/>
      </rPr>
      <t xml:space="preserve">前端 </t>
    </r>
    <r>
      <rPr>
        <sz val="10"/>
        <color rgb="FF15171C"/>
        <rFont val="Arial"/>
        <family val="0"/>
        <charset val="1"/>
      </rPr>
      <t xml:space="preserve">AI </t>
    </r>
    <r>
      <rPr>
        <sz val="10"/>
        <color rgb="FF15171C"/>
        <rFont val="Noto Sans CJK SC"/>
        <family val="2"/>
      </rPr>
      <t xml:space="preserve">对话页</t>
    </r>
  </si>
  <si>
    <t xml:space="preserve">会话列表、问答流、引用来源面板可用</t>
  </si>
  <si>
    <t xml:space="preserve">T3.1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</si>
  <si>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3</t>
    </r>
  </si>
  <si>
    <t xml:space="preserve">M3</t>
  </si>
  <si>
    <r>
      <rPr>
        <sz val="10"/>
        <color rgb="FF15171C"/>
        <rFont val="Noto Sans CJK SC"/>
        <family val="2"/>
      </rPr>
      <t xml:space="preserve">任务抽取 </t>
    </r>
    <r>
      <rPr>
        <sz val="10"/>
        <color rgb="FF15171C"/>
        <rFont val="Arial"/>
        <family val="0"/>
        <charset val="1"/>
      </rPr>
      <t xml:space="preserve">prompt </t>
    </r>
    <r>
      <rPr>
        <sz val="10"/>
        <color rgb="FF15171C"/>
        <rFont val="Noto Sans CJK SC"/>
        <family val="2"/>
      </rPr>
      <t xml:space="preserve">与 </t>
    </r>
    <r>
      <rPr>
        <sz val="10"/>
        <color rgb="FF15171C"/>
        <rFont val="Arial"/>
        <family val="0"/>
        <charset val="1"/>
      </rPr>
      <t xml:space="preserve">JSON schema </t>
    </r>
    <r>
      <rPr>
        <sz val="10"/>
        <color rgb="FF15171C"/>
        <rFont val="Noto Sans CJK SC"/>
        <family val="2"/>
      </rPr>
      <t xml:space="preserve">定义</t>
    </r>
  </si>
  <si>
    <r>
      <rPr>
        <sz val="10"/>
        <color rgb="FF15171C"/>
        <rFont val="Arial"/>
        <family val="0"/>
        <charset val="1"/>
      </rPr>
      <t xml:space="preserve">schema </t>
    </r>
    <r>
      <rPr>
        <sz val="10"/>
        <color rgb="FF15171C"/>
        <rFont val="Noto Sans CJK SC"/>
        <family val="2"/>
      </rPr>
      <t xml:space="preserve">覆盖任务名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负责人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截止时间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来源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优先级</t>
    </r>
  </si>
  <si>
    <t xml:space="preserve">T3.2</t>
  </si>
  <si>
    <t xml:space="preserve">抽取服务实现（含字段校验与去重）</t>
  </si>
  <si>
    <t xml:space="preserve">缺字段条目进入待确认而非直接入库</t>
  </si>
  <si>
    <t xml:space="preserve">T3.3</t>
  </si>
  <si>
    <r>
      <rPr>
        <sz val="10"/>
        <color rgb="FF15171C"/>
        <rFont val="Noto Sans CJK SC"/>
        <family val="2"/>
      </rPr>
      <t xml:space="preserve">候选任务确认界面（确认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编辑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合并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丢弃）</t>
    </r>
  </si>
  <si>
    <t xml:space="preserve">抽取结果先在候选区，人工确认后落库</t>
  </si>
  <si>
    <t xml:space="preserve">T3.4</t>
  </si>
  <si>
    <t xml:space="preserve">任务表与状态流转</t>
  </si>
  <si>
    <t xml:space="preserve">待办→进行中→已完成，状态可持久化</t>
  </si>
  <si>
    <t xml:space="preserve">T3.5</t>
  </si>
  <si>
    <t xml:space="preserve">任务列表视图与看板拖拽视图</t>
  </si>
  <si>
    <t xml:space="preserve">两种视图可切换；拖拽可变更状态</t>
  </si>
  <si>
    <t xml:space="preserve">T4.1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</si>
  <si>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4</t>
    </r>
  </si>
  <si>
    <t xml:space="preserve">M4</t>
  </si>
  <si>
    <r>
      <rPr>
        <sz val="10"/>
        <color rgb="FF15171C"/>
        <rFont val="Noto Sans CJK SC"/>
        <family val="2"/>
      </rPr>
      <t xml:space="preserve">首页聚合卡片（待办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最近资料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关键指标）</t>
    </r>
  </si>
  <si>
    <t xml:space="preserve">T1.6, T3.5</t>
  </si>
  <si>
    <t xml:space="preserve">卡片数据准确，点击可跳转详情</t>
  </si>
  <si>
    <t xml:space="preserve">T4.2</t>
  </si>
  <si>
    <t xml:space="preserve">常驻对话侧栏集成</t>
  </si>
  <si>
    <r>
      <rPr>
        <sz val="10"/>
        <color rgb="FF15171C"/>
        <rFont val="Noto Sans CJK SC"/>
        <family val="2"/>
      </rPr>
      <t xml:space="preserve">看板内可直接提问，回答可转任务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存记事</t>
    </r>
  </si>
  <si>
    <t xml:space="preserve">T4.3</t>
  </si>
  <si>
    <t xml:space="preserve">看板内文件存取与数据调取</t>
  </si>
  <si>
    <t xml:space="preserve">可在看板内存取文件、调取结构化数据</t>
  </si>
  <si>
    <t xml:space="preserve">T4.4</t>
  </si>
  <si>
    <r>
      <rPr>
        <sz val="10"/>
        <color rgb="FF15171C"/>
        <rFont val="Noto Sans CJK SC"/>
        <family val="2"/>
      </rPr>
      <t xml:space="preserve">任务查看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生成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完成操作集成</t>
    </r>
  </si>
  <si>
    <t xml:space="preserve">看板内可查看、生成并完成任务</t>
  </si>
  <si>
    <t xml:space="preserve">T4.5</t>
  </si>
  <si>
    <t xml:space="preserve">全局导航与路由整理</t>
  </si>
  <si>
    <t xml:space="preserve">T4.1–T4.4</t>
  </si>
  <si>
    <r>
      <rPr>
        <sz val="10"/>
        <color rgb="FF15171C"/>
        <rFont val="Noto Sans CJK SC"/>
        <family val="2"/>
      </rPr>
      <t xml:space="preserve">看板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任务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对话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资料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数据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设置导航齐备</t>
    </r>
  </si>
  <si>
    <t xml:space="preserve">T5.1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</si>
  <si>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5</t>
    </r>
  </si>
  <si>
    <t xml:space="preserve">M5</t>
  </si>
  <si>
    <r>
      <rPr>
        <sz val="10"/>
        <color rgb="FF15171C"/>
        <rFont val="Noto Sans CJK SC"/>
        <family val="2"/>
      </rPr>
      <t xml:space="preserve">生成模板设计（报告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文档</t>
    </r>
    <r>
      <rPr>
        <sz val="10"/>
        <color rgb="FF15171C"/>
        <rFont val="Arial"/>
        <family val="0"/>
        <charset val="1"/>
      </rPr>
      <t xml:space="preserve">/PPT</t>
    </r>
    <r>
      <rPr>
        <sz val="10"/>
        <color rgb="FF15171C"/>
        <rFont val="Noto Sans CJK SC"/>
        <family val="2"/>
      </rPr>
      <t xml:space="preserve">）</t>
    </r>
  </si>
  <si>
    <t xml:space="preserve">模板结构与占位定义完成</t>
  </si>
  <si>
    <t xml:space="preserve">T5.2</t>
  </si>
  <si>
    <t xml:space="preserve">检索取材 → 大模型成文链路</t>
  </si>
  <si>
    <t xml:space="preserve">生成内容取自自有知识库且带来源</t>
  </si>
  <si>
    <t xml:space="preserve">T5.3</t>
  </si>
  <si>
    <r>
      <rPr>
        <sz val="10"/>
        <color rgb="FF15171C"/>
        <rFont val="Arial"/>
        <family val="0"/>
        <charset val="1"/>
      </rPr>
      <t xml:space="preserve">Word </t>
    </r>
    <r>
      <rPr>
        <sz val="10"/>
        <color rgb="FF15171C"/>
        <rFont val="Noto Sans CJK SC"/>
        <family val="2"/>
      </rPr>
      <t xml:space="preserve">导出（</t>
    </r>
    <r>
      <rPr>
        <sz val="10"/>
        <color rgb="FF15171C"/>
        <rFont val="Arial"/>
        <family val="0"/>
        <charset val="1"/>
      </rPr>
      <t xml:space="preserve">python-docx</t>
    </r>
    <r>
      <rPr>
        <sz val="10"/>
        <color rgb="FF15171C"/>
        <rFont val="Noto Sans CJK SC"/>
        <family val="2"/>
      </rPr>
      <t xml:space="preserve">）</t>
    </r>
  </si>
  <si>
    <r>
      <rPr>
        <sz val="10"/>
        <color rgb="FF15171C"/>
        <rFont val="Noto Sans CJK SC"/>
        <family val="2"/>
      </rPr>
      <t xml:space="preserve">可导出结构完整的 </t>
    </r>
    <r>
      <rPr>
        <sz val="10"/>
        <color rgb="FF15171C"/>
        <rFont val="Arial"/>
        <family val="0"/>
        <charset val="1"/>
      </rPr>
      <t xml:space="preserve">.docx</t>
    </r>
  </si>
  <si>
    <t xml:space="preserve">T5.4</t>
  </si>
  <si>
    <r>
      <rPr>
        <sz val="10"/>
        <color rgb="FF15171C"/>
        <rFont val="Arial"/>
        <family val="0"/>
        <charset val="1"/>
      </rPr>
      <t xml:space="preserve">PPT </t>
    </r>
    <r>
      <rPr>
        <sz val="10"/>
        <color rgb="FF15171C"/>
        <rFont val="Noto Sans CJK SC"/>
        <family val="2"/>
      </rPr>
      <t xml:space="preserve">导出（</t>
    </r>
    <r>
      <rPr>
        <sz val="10"/>
        <color rgb="FF15171C"/>
        <rFont val="Arial"/>
        <family val="0"/>
        <charset val="1"/>
      </rPr>
      <t xml:space="preserve">python-pptx </t>
    </r>
    <r>
      <rPr>
        <sz val="10"/>
        <color rgb="FF15171C"/>
        <rFont val="Noto Sans CJK SC"/>
        <family val="2"/>
      </rPr>
      <t xml:space="preserve">套模板）</t>
    </r>
  </si>
  <si>
    <r>
      <rPr>
        <sz val="10"/>
        <color rgb="FF15171C"/>
        <rFont val="Noto Sans CJK SC"/>
        <family val="2"/>
      </rPr>
      <t xml:space="preserve">按每页要点 </t>
    </r>
    <r>
      <rPr>
        <sz val="10"/>
        <color rgb="FF15171C"/>
        <rFont val="Arial"/>
        <family val="0"/>
        <charset val="1"/>
      </rPr>
      <t xml:space="preserve">JSON </t>
    </r>
    <r>
      <rPr>
        <sz val="10"/>
        <color rgb="FF15171C"/>
        <rFont val="Noto Sans CJK SC"/>
        <family val="2"/>
      </rPr>
      <t xml:space="preserve">生成 </t>
    </r>
    <r>
      <rPr>
        <sz val="10"/>
        <color rgb="FF15171C"/>
        <rFont val="Arial"/>
        <family val="0"/>
        <charset val="1"/>
      </rPr>
      <t xml:space="preserve">.pptx</t>
    </r>
  </si>
  <si>
    <t xml:space="preserve">T5.5</t>
  </si>
  <si>
    <t xml:space="preserve">生成文件下载与归档</t>
  </si>
  <si>
    <t xml:space="preserve">T5.3, T5.4</t>
  </si>
  <si>
    <r>
      <rPr>
        <sz val="10"/>
        <color rgb="FF15171C"/>
        <rFont val="Noto Sans CJK SC"/>
        <family val="2"/>
      </rPr>
      <t xml:space="preserve">生成物可下载并归入 </t>
    </r>
    <r>
      <rPr>
        <sz val="10"/>
        <color rgb="FF15171C"/>
        <rFont val="Arial"/>
        <family val="0"/>
        <charset val="1"/>
      </rPr>
      <t xml:space="preserve">storage/generated</t>
    </r>
  </si>
  <si>
    <t xml:space="preserve">T6.1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</si>
  <si>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6</t>
    </r>
  </si>
  <si>
    <t xml:space="preserve">M6</t>
  </si>
  <si>
    <t xml:space="preserve">工作流程节点与状态建模</t>
  </si>
  <si>
    <t xml:space="preserve">流程节点、状态与流转关系可表达</t>
  </si>
  <si>
    <t xml:space="preserve">T6.2</t>
  </si>
  <si>
    <r>
      <rPr>
        <sz val="10"/>
        <color rgb="FF15171C"/>
        <rFont val="Noto Sans CJK SC"/>
        <family val="2"/>
      </rPr>
      <t xml:space="preserve">异常规则定义与检测（超期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停滞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缺结果）</t>
    </r>
  </si>
  <si>
    <t xml:space="preserve">能识别并标记异常环节</t>
  </si>
  <si>
    <t xml:space="preserve">T6.3</t>
  </si>
  <si>
    <t xml:space="preserve">业务数据分析图表</t>
  </si>
  <si>
    <t xml:space="preserve">业务数据可按维度统计并图表化</t>
  </si>
  <si>
    <t xml:space="preserve">T6.4</t>
  </si>
  <si>
    <t xml:space="preserve">数据看板呈现</t>
  </si>
  <si>
    <t xml:space="preserve">T6.2, T6.3</t>
  </si>
  <si>
    <t xml:space="preserve">异常与指标在看板集中呈现</t>
  </si>
  <si>
    <t xml:space="preserve">X1</t>
  </si>
  <si>
    <t xml:space="preserve">横向</t>
  </si>
  <si>
    <r>
      <rPr>
        <sz val="10"/>
        <color rgb="FF15171C"/>
        <rFont val="Arial"/>
        <family val="0"/>
        <charset val="1"/>
      </rPr>
      <t xml:space="preserve">M4 </t>
    </r>
    <r>
      <rPr>
        <sz val="10"/>
        <color rgb="FF15171C"/>
        <rFont val="Noto Sans CJK SC"/>
        <family val="2"/>
      </rPr>
      <t xml:space="preserve">前</t>
    </r>
  </si>
  <si>
    <t xml:space="preserve">数据备份与恢复机制</t>
  </si>
  <si>
    <t xml:space="preserve">数据库与存储可定期备份，恢复演练通过</t>
  </si>
  <si>
    <t xml:space="preserve">X2</t>
  </si>
  <si>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1+</t>
    </r>
  </si>
  <si>
    <t xml:space="preserve">安全与隐私加固</t>
  </si>
  <si>
    <r>
      <rPr>
        <sz val="10"/>
        <color rgb="FF15171C"/>
        <rFont val="Noto Sans CJK SC"/>
        <family val="2"/>
      </rPr>
      <t xml:space="preserve">访问口令、</t>
    </r>
    <r>
      <rPr>
        <sz val="10"/>
        <color rgb="FF15171C"/>
        <rFont val="Arial"/>
        <family val="0"/>
        <charset val="1"/>
      </rPr>
      <t xml:space="preserve">HTTPS</t>
    </r>
    <r>
      <rPr>
        <sz val="10"/>
        <color rgb="FF15171C"/>
        <rFont val="Noto Sans CJK SC"/>
        <family val="2"/>
      </rPr>
      <t xml:space="preserve">、敏感字段加密落地</t>
    </r>
  </si>
  <si>
    <t xml:space="preserve">X3</t>
  </si>
  <si>
    <t xml:space="preserve">全程</t>
  </si>
  <si>
    <t xml:space="preserve">测试与回归样例集</t>
  </si>
  <si>
    <t xml:space="preserve">随阶段推进</t>
  </si>
  <si>
    <r>
      <rPr>
        <sz val="10"/>
        <color rgb="FF15171C"/>
        <rFont val="Noto Sans CJK SC"/>
        <family val="2"/>
      </rPr>
      <t xml:space="preserve">固定回归样例，问答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抽取效果不退化</t>
    </r>
  </si>
  <si>
    <t xml:space="preserve">X4</t>
  </si>
  <si>
    <t xml:space="preserve">使用说明与运维文档</t>
  </si>
  <si>
    <t xml:space="preserve">部署、使用、备份说明齐备</t>
  </si>
  <si>
    <r>
      <rPr>
        <b val="true"/>
        <sz val="10"/>
        <color rgb="FF15171C"/>
        <rFont val="Noto Sans CJK SC"/>
        <family val="2"/>
      </rPr>
      <t xml:space="preserve">合计（全部 </t>
    </r>
    <r>
      <rPr>
        <b val="true"/>
        <sz val="10"/>
        <color rgb="FF15171C"/>
        <rFont val="Arial"/>
        <family val="0"/>
        <charset val="1"/>
      </rPr>
      <t xml:space="preserve">43 </t>
    </r>
    <r>
      <rPr>
        <b val="true"/>
        <sz val="10"/>
        <color rgb="FF15171C"/>
        <rFont val="Noto Sans CJK SC"/>
        <family val="2"/>
      </rPr>
      <t xml:space="preserve">项任务）</t>
    </r>
  </si>
  <si>
    <t xml:space="preserve">阶段名称</t>
  </si>
  <si>
    <t xml:space="preserve">任务数</t>
  </si>
  <si>
    <t xml:space="preserve">占比</t>
  </si>
  <si>
    <t xml:space="preserve">阶段门（准出条件）</t>
  </si>
  <si>
    <t xml:space="preserve">环境与工程脚手架</t>
  </si>
  <si>
    <r>
      <rPr>
        <sz val="10"/>
        <color rgb="FF15171C"/>
        <rFont val="Arial"/>
        <family val="0"/>
        <charset val="1"/>
      </rPr>
      <t xml:space="preserve">G0 → </t>
    </r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1</t>
    </r>
    <r>
      <rPr>
        <sz val="10"/>
        <color rgb="FF15171C"/>
        <rFont val="Noto Sans CJK SC"/>
        <family val="2"/>
      </rPr>
      <t xml:space="preserve">：本地可一键启动全套服务；数据库迁移可执行；大模型调用连通</t>
    </r>
  </si>
  <si>
    <r>
      <rPr>
        <sz val="10"/>
        <color rgb="FF15171C"/>
        <rFont val="Noto Sans CJK SC"/>
        <family val="2"/>
      </rPr>
      <t xml:space="preserve">数据底座（数据库 </t>
    </r>
    <r>
      <rPr>
        <sz val="10"/>
        <color rgb="FF15171C"/>
        <rFont val="Arial"/>
        <family val="0"/>
        <charset val="1"/>
      </rPr>
      <t xml:space="preserve">+ </t>
    </r>
    <r>
      <rPr>
        <sz val="10"/>
        <color rgb="FF15171C"/>
        <rFont val="Noto Sans CJK SC"/>
        <family val="2"/>
      </rPr>
      <t xml:space="preserve">存储 </t>
    </r>
    <r>
      <rPr>
        <sz val="10"/>
        <color rgb="FF15171C"/>
        <rFont val="Arial"/>
        <family val="0"/>
        <charset val="1"/>
      </rPr>
      <t xml:space="preserve">+ </t>
    </r>
    <r>
      <rPr>
        <sz val="10"/>
        <color rgb="FF15171C"/>
        <rFont val="Noto Sans CJK SC"/>
        <family val="2"/>
      </rPr>
      <t xml:space="preserve">录入）</t>
    </r>
  </si>
  <si>
    <r>
      <rPr>
        <sz val="10"/>
        <color rgb="FF15171C"/>
        <rFont val="Arial"/>
        <family val="0"/>
        <charset val="1"/>
      </rPr>
      <t xml:space="preserve">G1 → </t>
    </r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2</t>
    </r>
    <r>
      <rPr>
        <sz val="10"/>
        <color rgb="FF15171C"/>
        <rFont val="Noto Sans CJK SC"/>
        <family val="2"/>
      </rPr>
      <t xml:space="preserve">：六类信息与文件均能录入、查询、关联；文件存取正常</t>
    </r>
  </si>
  <si>
    <r>
      <rPr>
        <sz val="10"/>
        <color rgb="FF15171C"/>
        <rFont val="Noto Sans CJK SC"/>
        <family val="2"/>
      </rPr>
      <t xml:space="preserve">知识库与 </t>
    </r>
    <r>
      <rPr>
        <sz val="10"/>
        <color rgb="FF15171C"/>
        <rFont val="Arial"/>
        <family val="0"/>
        <charset val="1"/>
      </rPr>
      <t xml:space="preserve">RAG </t>
    </r>
    <r>
      <rPr>
        <sz val="10"/>
        <color rgb="FF15171C"/>
        <rFont val="Noto Sans CJK SC"/>
        <family val="2"/>
      </rPr>
      <t xml:space="preserve">问答</t>
    </r>
  </si>
  <si>
    <r>
      <rPr>
        <sz val="10"/>
        <color rgb="FF15171C"/>
        <rFont val="Arial"/>
        <family val="0"/>
        <charset val="1"/>
      </rPr>
      <t xml:space="preserve">G2 → </t>
    </r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3</t>
    </r>
    <r>
      <rPr>
        <sz val="10"/>
        <color rgb="FF15171C"/>
        <rFont val="Noto Sans CJK SC"/>
        <family val="2"/>
      </rPr>
      <t xml:space="preserve">：解析→向量化→检索→生成链路打通；问答带来源；无依据不编造</t>
    </r>
  </si>
  <si>
    <t xml:space="preserve">任务梳理</t>
  </si>
  <si>
    <r>
      <rPr>
        <sz val="10"/>
        <color rgb="FF15171C"/>
        <rFont val="Arial"/>
        <family val="0"/>
        <charset val="1"/>
      </rPr>
      <t xml:space="preserve">G3 → </t>
    </r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4</t>
    </r>
    <r>
      <rPr>
        <sz val="10"/>
        <color rgb="FF15171C"/>
        <rFont val="Noto Sans CJK SC"/>
        <family val="2"/>
      </rPr>
      <t xml:space="preserve">：任务抽取有候选确认环节；任务状态流转与看板拖拽可用</t>
    </r>
  </si>
  <si>
    <r>
      <rPr>
        <sz val="10"/>
        <color rgb="FF15171C"/>
        <rFont val="Noto Sans CJK SC"/>
        <family val="2"/>
      </rPr>
      <t xml:space="preserve">综合看板（</t>
    </r>
    <r>
      <rPr>
        <sz val="10"/>
        <color rgb="FF15171C"/>
        <rFont val="Arial"/>
        <family val="0"/>
        <charset val="1"/>
      </rPr>
      <t xml:space="preserve">P0 </t>
    </r>
    <r>
      <rPr>
        <sz val="10"/>
        <color rgb="FF15171C"/>
        <rFont val="Noto Sans CJK SC"/>
        <family val="2"/>
      </rPr>
      <t xml:space="preserve">收口）</t>
    </r>
  </si>
  <si>
    <r>
      <rPr>
        <sz val="10"/>
        <color rgb="FF15171C"/>
        <rFont val="Arial"/>
        <family val="0"/>
        <charset val="1"/>
      </rPr>
      <t xml:space="preserve">G4 → </t>
    </r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5</t>
    </r>
    <r>
      <rPr>
        <sz val="10"/>
        <color rgb="FF15171C"/>
        <rFont val="Noto Sans CJK SC"/>
        <family val="2"/>
      </rPr>
      <t xml:space="preserve">：</t>
    </r>
    <r>
      <rPr>
        <sz val="10"/>
        <color rgb="FF15171C"/>
        <rFont val="Arial"/>
        <family val="0"/>
        <charset val="1"/>
      </rPr>
      <t xml:space="preserve">M4 </t>
    </r>
    <r>
      <rPr>
        <sz val="10"/>
        <color rgb="FF15171C"/>
        <rFont val="Noto Sans CJK SC"/>
        <family val="2"/>
      </rPr>
      <t xml:space="preserve">综合看板闭环成立；备份机制已就位</t>
    </r>
  </si>
  <si>
    <r>
      <rPr>
        <sz val="10"/>
        <color rgb="FF15171C"/>
        <rFont val="Noto Sans CJK SC"/>
        <family val="2"/>
      </rPr>
      <t xml:space="preserve">文档与 </t>
    </r>
    <r>
      <rPr>
        <sz val="10"/>
        <color rgb="FF15171C"/>
        <rFont val="Arial"/>
        <family val="0"/>
        <charset val="1"/>
      </rPr>
      <t xml:space="preserve">PPT </t>
    </r>
    <r>
      <rPr>
        <sz val="10"/>
        <color rgb="FF15171C"/>
        <rFont val="Noto Sans CJK SC"/>
        <family val="2"/>
      </rPr>
      <t xml:space="preserve">生成</t>
    </r>
  </si>
  <si>
    <r>
      <rPr>
        <sz val="10"/>
        <color rgb="FF15171C"/>
        <rFont val="Arial"/>
        <family val="0"/>
        <charset val="1"/>
      </rPr>
      <t xml:space="preserve">G5 → </t>
    </r>
    <r>
      <rPr>
        <sz val="10"/>
        <color rgb="FF15171C"/>
        <rFont val="Noto Sans CJK SC"/>
        <family val="2"/>
      </rPr>
      <t xml:space="preserve">阶段 </t>
    </r>
    <r>
      <rPr>
        <sz val="10"/>
        <color rgb="FF15171C"/>
        <rFont val="Arial"/>
        <family val="0"/>
        <charset val="1"/>
      </rPr>
      <t xml:space="preserve">6</t>
    </r>
    <r>
      <rPr>
        <sz val="10"/>
        <color rgb="FF15171C"/>
        <rFont val="Noto Sans CJK SC"/>
        <family val="2"/>
      </rPr>
      <t xml:space="preserve">：</t>
    </r>
    <r>
      <rPr>
        <sz val="10"/>
        <color rgb="FF15171C"/>
        <rFont val="Arial"/>
        <family val="0"/>
        <charset val="1"/>
      </rPr>
      <t xml:space="preserve">Word </t>
    </r>
    <r>
      <rPr>
        <sz val="10"/>
        <color rgb="FF15171C"/>
        <rFont val="Noto Sans CJK SC"/>
        <family val="2"/>
      </rPr>
      <t xml:space="preserve">与 </t>
    </r>
    <r>
      <rPr>
        <sz val="10"/>
        <color rgb="FF15171C"/>
        <rFont val="Arial"/>
        <family val="0"/>
        <charset val="1"/>
      </rPr>
      <t xml:space="preserve">PPT </t>
    </r>
    <r>
      <rPr>
        <sz val="10"/>
        <color rgb="FF15171C"/>
        <rFont val="Noto Sans CJK SC"/>
        <family val="2"/>
      </rPr>
      <t xml:space="preserve">均可导出、下载、归档</t>
    </r>
  </si>
  <si>
    <t xml:space="preserve">流程审查与数据分析</t>
  </si>
  <si>
    <r>
      <rPr>
        <sz val="10"/>
        <color rgb="FF15171C"/>
        <rFont val="Arial"/>
        <family val="0"/>
        <charset val="1"/>
      </rPr>
      <t xml:space="preserve">G6 → </t>
    </r>
    <r>
      <rPr>
        <sz val="10"/>
        <color rgb="FF15171C"/>
        <rFont val="Noto Sans CJK SC"/>
        <family val="2"/>
      </rPr>
      <t xml:space="preserve">验收交付：流程异常可识别；全量备份与恢复演练通过</t>
    </r>
  </si>
  <si>
    <t xml:space="preserve">横向工作（贯穿全程）</t>
  </si>
  <si>
    <r>
      <rPr>
        <sz val="10"/>
        <color rgb="FF15171C"/>
        <rFont val="Noto Sans CJK SC"/>
        <family val="2"/>
      </rPr>
      <t xml:space="preserve">随阶段插入：备份（</t>
    </r>
    <r>
      <rPr>
        <sz val="10"/>
        <color rgb="FF15171C"/>
        <rFont val="Arial"/>
        <family val="0"/>
        <charset val="1"/>
      </rPr>
      <t xml:space="preserve">M4 </t>
    </r>
    <r>
      <rPr>
        <sz val="10"/>
        <color rgb="FF15171C"/>
        <rFont val="Noto Sans CJK SC"/>
        <family val="2"/>
      </rPr>
      <t xml:space="preserve">前）／安全（阶段 </t>
    </r>
    <r>
      <rPr>
        <sz val="10"/>
        <color rgb="FF15171C"/>
        <rFont val="Arial"/>
        <family val="0"/>
        <charset val="1"/>
      </rPr>
      <t xml:space="preserve">1+</t>
    </r>
    <r>
      <rPr>
        <sz val="10"/>
        <color rgb="FF15171C"/>
        <rFont val="Noto Sans CJK SC"/>
        <family val="2"/>
      </rPr>
      <t xml:space="preserve">）／测试与文档（全程）</t>
    </r>
  </si>
  <si>
    <t xml:space="preserve">总计（全部任务）</t>
  </si>
  <si>
    <t xml:space="preserve">名称</t>
  </si>
  <si>
    <t xml:space="preserve">对应阶段</t>
  </si>
  <si>
    <t xml:space="preserve">完成标志（可验收）</t>
  </si>
  <si>
    <t xml:space="preserve">工程就绪</t>
  </si>
  <si>
    <r>
      <rPr>
        <sz val="10"/>
        <color rgb="FF15171C"/>
        <rFont val="Arial"/>
        <family val="0"/>
        <charset val="1"/>
      </rPr>
      <t xml:space="preserve">docker compose up </t>
    </r>
    <r>
      <rPr>
        <sz val="10"/>
        <color rgb="FF15171C"/>
        <rFont val="Noto Sans CJK SC"/>
        <family val="2"/>
      </rPr>
      <t xml:space="preserve">后前端可访问、后端健康检查通过、能成功调用一次大模型</t>
    </r>
  </si>
  <si>
    <t xml:space="preserve">未达成</t>
  </si>
  <si>
    <t xml:space="preserve">数据底座可用</t>
  </si>
  <si>
    <r>
      <rPr>
        <sz val="10"/>
        <color rgb="FF15171C"/>
        <rFont val="Noto Sans CJK SC"/>
        <family val="2"/>
      </rPr>
      <t xml:space="preserve">各类信息可新增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查询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修改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关联；文件可上传下载；重启后数据不丢失</t>
    </r>
  </si>
  <si>
    <t xml:space="preserve">知识库问答可用</t>
  </si>
  <si>
    <t xml:space="preserve">对已录入文件提问能返回带来源的答案；无依据时明确说明「知识库中无相关信息」</t>
  </si>
  <si>
    <t xml:space="preserve">任务梳理可用</t>
  </si>
  <si>
    <t xml:space="preserve">从一份会议纪要能抽出合理候选任务，确认后落入任务列表并可拖拽变更状态</t>
  </si>
  <si>
    <r>
      <rPr>
        <sz val="10"/>
        <color rgb="FF15171C"/>
        <rFont val="Arial"/>
        <family val="0"/>
        <charset val="1"/>
      </rPr>
      <t xml:space="preserve">P0 </t>
    </r>
    <r>
      <rPr>
        <sz val="10"/>
        <color rgb="FF15171C"/>
        <rFont val="Noto Sans CJK SC"/>
        <family val="2"/>
      </rPr>
      <t xml:space="preserve">闭环达成</t>
    </r>
  </si>
  <si>
    <r>
      <rPr>
        <sz val="10"/>
        <color rgb="FF15171C"/>
        <rFont val="Noto Sans CJK SC"/>
        <family val="2"/>
      </rPr>
      <t xml:space="preserve">仅在看板内即可完成：存取文件、调取数据、发起对话、查看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生成</t>
    </r>
    <r>
      <rPr>
        <sz val="10"/>
        <color rgb="FF15171C"/>
        <rFont val="Arial"/>
        <family val="0"/>
        <charset val="1"/>
      </rPr>
      <t xml:space="preserve">/</t>
    </r>
    <r>
      <rPr>
        <sz val="10"/>
        <color rgb="FF15171C"/>
        <rFont val="Noto Sans CJK SC"/>
        <family val="2"/>
      </rPr>
      <t xml:space="preserve">完成任务</t>
    </r>
  </si>
  <si>
    <r>
      <rPr>
        <sz val="10"/>
        <color rgb="FF15171C"/>
        <rFont val="Noto Sans CJK SC"/>
        <family val="2"/>
      </rPr>
      <t xml:space="preserve">基于知识库生成结构完整、可下载的 </t>
    </r>
    <r>
      <rPr>
        <sz val="10"/>
        <color rgb="FF15171C"/>
        <rFont val="Arial"/>
        <family val="0"/>
        <charset val="1"/>
      </rPr>
      <t xml:space="preserve">Word </t>
    </r>
    <r>
      <rPr>
        <sz val="10"/>
        <color rgb="FF15171C"/>
        <rFont val="Noto Sans CJK SC"/>
        <family val="2"/>
      </rPr>
      <t xml:space="preserve">与 </t>
    </r>
    <r>
      <rPr>
        <sz val="10"/>
        <color rgb="FF15171C"/>
        <rFont val="Arial"/>
        <family val="0"/>
        <charset val="1"/>
      </rPr>
      <t xml:space="preserve">PPT</t>
    </r>
    <r>
      <rPr>
        <sz val="10"/>
        <color rgb="FF15171C"/>
        <rFont val="Noto Sans CJK SC"/>
        <family val="2"/>
      </rPr>
      <t xml:space="preserve">，内容带来源可核对</t>
    </r>
  </si>
  <si>
    <t xml:space="preserve">能识别流程异常环节并在看板标出；业务数据可按维度统计并图表化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</si>
</sst>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6"/>
      <color rgb="FF1F2A44"/>
      <name val="Noto Sans CJK SC"/>
      <family val="2"/>
    </font>
    <font>
      <sz val="10"/>
      <color rgb="FF40485A"/>
      <name val="Noto Sans CJK SC"/>
      <family val="2"/>
    </font>
    <font>
      <sz val="10"/>
      <color rgb="FF40485A"/>
      <name val="Arial"/>
      <family val="0"/>
      <charset val="1"/>
    </font>
    <font>
      <b val="true"/>
      <sz val="12"/>
      <color rgb="FF3A57E8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15171C"/>
      <name val="Arial"/>
      <family val="0"/>
      <charset val="1"/>
    </font>
    <font>
      <b val="true"/>
      <sz val="10"/>
      <color rgb="FF3A57E8"/>
      <name val="Arial"/>
      <family val="0"/>
      <charset val="1"/>
    </font>
    <font>
      <sz val="10"/>
      <color rgb="FF15171C"/>
      <name val="Noto Sans CJK SC"/>
      <family val="2"/>
    </font>
    <font>
      <b val="true"/>
      <sz val="10"/>
      <color rgb="FF15171C"/>
      <name val="Noto Sans CJK SC"/>
      <family val="2"/>
    </font>
    <font>
      <b val="true"/>
      <sz val="10"/>
      <color rgb="FF15171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15171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171C"/>
          <bgColor rgb="FF000000"/>
        </patternFill>
      </fill>
    </dxf>
    <dxf>
      <fill>
        <patternFill patternType="solid">
          <fgColor rgb="FF3A57E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7F9FC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A57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71C"/>
      <rgbColor rgb="FF333300"/>
      <rgbColor rgb="FF993300"/>
      <rgbColor rgb="FF993366"/>
      <rgbColor rgb="FF40485A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5" t="s">
        <v>7</v>
      </c>
    </row>
    <row r="12" customFormat="false" ht="15" hidden="false" customHeight="false" outlineLevel="0" collapsed="false">
      <c r="A12" s="5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46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20"/>
  </cols>
  <sheetData>
    <row r="1" customFormat="false" ht="25.5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</row>
    <row r="2" customFormat="false" ht="29.85" hidden="false" customHeight="false" outlineLevel="0" collapsed="false">
      <c r="A2" s="7" t="n">
        <v>1</v>
      </c>
      <c r="B2" s="8" t="s">
        <v>25</v>
      </c>
      <c r="C2" s="9" t="s">
        <v>26</v>
      </c>
      <c r="D2" s="7" t="s">
        <v>27</v>
      </c>
      <c r="E2" s="10" t="s">
        <v>28</v>
      </c>
      <c r="F2" s="11" t="s">
        <v>29</v>
      </c>
      <c r="G2" s="11" t="s">
        <v>30</v>
      </c>
      <c r="H2" s="7" t="n">
        <v>1</v>
      </c>
      <c r="I2" s="9" t="s">
        <v>31</v>
      </c>
      <c r="J2" s="11"/>
      <c r="K2" s="11"/>
    </row>
    <row r="3" customFormat="false" ht="15" hidden="false" customHeight="false" outlineLevel="0" collapsed="false">
      <c r="A3" s="12" t="n">
        <v>2</v>
      </c>
      <c r="B3" s="13" t="s">
        <v>32</v>
      </c>
      <c r="C3" s="14" t="s">
        <v>26</v>
      </c>
      <c r="D3" s="12" t="s">
        <v>27</v>
      </c>
      <c r="E3" s="15" t="s">
        <v>33</v>
      </c>
      <c r="F3" s="16" t="s">
        <v>25</v>
      </c>
      <c r="G3" s="15" t="s">
        <v>34</v>
      </c>
      <c r="H3" s="12" t="n">
        <v>1</v>
      </c>
      <c r="I3" s="14" t="s">
        <v>31</v>
      </c>
      <c r="J3" s="16"/>
      <c r="K3" s="16"/>
    </row>
    <row r="4" customFormat="false" ht="15" hidden="false" customHeight="false" outlineLevel="0" collapsed="false">
      <c r="A4" s="7" t="n">
        <v>3</v>
      </c>
      <c r="B4" s="8" t="s">
        <v>35</v>
      </c>
      <c r="C4" s="9" t="s">
        <v>26</v>
      </c>
      <c r="D4" s="7" t="s">
        <v>27</v>
      </c>
      <c r="E4" s="10" t="s">
        <v>36</v>
      </c>
      <c r="F4" s="11" t="s">
        <v>25</v>
      </c>
      <c r="G4" s="10" t="s">
        <v>37</v>
      </c>
      <c r="H4" s="7" t="n">
        <v>1</v>
      </c>
      <c r="I4" s="9" t="s">
        <v>31</v>
      </c>
      <c r="J4" s="11"/>
      <c r="K4" s="11"/>
    </row>
    <row r="5" customFormat="false" ht="15" hidden="false" customHeight="false" outlineLevel="0" collapsed="false">
      <c r="A5" s="12" t="n">
        <v>4</v>
      </c>
      <c r="B5" s="13" t="s">
        <v>38</v>
      </c>
      <c r="C5" s="14" t="s">
        <v>26</v>
      </c>
      <c r="D5" s="12" t="s">
        <v>27</v>
      </c>
      <c r="E5" s="15" t="s">
        <v>39</v>
      </c>
      <c r="F5" s="16" t="s">
        <v>25</v>
      </c>
      <c r="G5" s="16" t="s">
        <v>40</v>
      </c>
      <c r="H5" s="12" t="n">
        <v>1</v>
      </c>
      <c r="I5" s="14" t="s">
        <v>31</v>
      </c>
      <c r="J5" s="16"/>
      <c r="K5" s="16"/>
    </row>
    <row r="6" customFormat="false" ht="15" hidden="false" customHeight="false" outlineLevel="0" collapsed="false">
      <c r="A6" s="7" t="n">
        <v>5</v>
      </c>
      <c r="B6" s="8" t="s">
        <v>41</v>
      </c>
      <c r="C6" s="9" t="s">
        <v>26</v>
      </c>
      <c r="D6" s="7" t="s">
        <v>27</v>
      </c>
      <c r="E6" s="10" t="s">
        <v>42</v>
      </c>
      <c r="F6" s="11" t="s">
        <v>43</v>
      </c>
      <c r="G6" s="10" t="s">
        <v>44</v>
      </c>
      <c r="H6" s="7" t="n">
        <v>0.5</v>
      </c>
      <c r="I6" s="9" t="s">
        <v>31</v>
      </c>
      <c r="J6" s="11"/>
      <c r="K6" s="11"/>
    </row>
    <row r="7" customFormat="false" ht="15" hidden="false" customHeight="false" outlineLevel="0" collapsed="false">
      <c r="A7" s="12" t="n">
        <v>6</v>
      </c>
      <c r="B7" s="13" t="s">
        <v>45</v>
      </c>
      <c r="C7" s="14" t="s">
        <v>26</v>
      </c>
      <c r="D7" s="12" t="s">
        <v>27</v>
      </c>
      <c r="E7" s="15" t="s">
        <v>46</v>
      </c>
      <c r="F7" s="16" t="s">
        <v>35</v>
      </c>
      <c r="G7" s="15" t="s">
        <v>47</v>
      </c>
      <c r="H7" s="12" t="n">
        <v>0.5</v>
      </c>
      <c r="I7" s="14" t="s">
        <v>31</v>
      </c>
      <c r="J7" s="16"/>
      <c r="K7" s="16"/>
    </row>
    <row r="8" customFormat="false" ht="29.85" hidden="false" customHeight="false" outlineLevel="0" collapsed="false">
      <c r="A8" s="7" t="n">
        <v>7</v>
      </c>
      <c r="B8" s="8" t="s">
        <v>48</v>
      </c>
      <c r="C8" s="9" t="s">
        <v>49</v>
      </c>
      <c r="D8" s="7" t="s">
        <v>50</v>
      </c>
      <c r="E8" s="10" t="s">
        <v>51</v>
      </c>
      <c r="F8" s="11" t="s">
        <v>41</v>
      </c>
      <c r="G8" s="10" t="s">
        <v>52</v>
      </c>
      <c r="H8" s="7" t="n">
        <v>2</v>
      </c>
      <c r="I8" s="9" t="s">
        <v>31</v>
      </c>
      <c r="J8" s="11"/>
      <c r="K8" s="11"/>
    </row>
    <row r="9" customFormat="false" ht="15" hidden="false" customHeight="false" outlineLevel="0" collapsed="false">
      <c r="A9" s="12" t="n">
        <v>8</v>
      </c>
      <c r="B9" s="13" t="s">
        <v>53</v>
      </c>
      <c r="C9" s="14" t="s">
        <v>49</v>
      </c>
      <c r="D9" s="12" t="s">
        <v>50</v>
      </c>
      <c r="E9" s="15" t="s">
        <v>54</v>
      </c>
      <c r="F9" s="16" t="s">
        <v>48</v>
      </c>
      <c r="G9" s="15" t="s">
        <v>55</v>
      </c>
      <c r="H9" s="12" t="n">
        <v>2</v>
      </c>
      <c r="I9" s="14" t="s">
        <v>31</v>
      </c>
      <c r="J9" s="16"/>
      <c r="K9" s="16"/>
    </row>
    <row r="10" customFormat="false" ht="15" hidden="false" customHeight="false" outlineLevel="0" collapsed="false">
      <c r="A10" s="7" t="n">
        <v>9</v>
      </c>
      <c r="B10" s="8" t="s">
        <v>56</v>
      </c>
      <c r="C10" s="9" t="s">
        <v>49</v>
      </c>
      <c r="D10" s="7" t="s">
        <v>50</v>
      </c>
      <c r="E10" s="10" t="s">
        <v>57</v>
      </c>
      <c r="F10" s="11" t="s">
        <v>48</v>
      </c>
      <c r="G10" s="10" t="s">
        <v>58</v>
      </c>
      <c r="H10" s="7" t="n">
        <v>3</v>
      </c>
      <c r="I10" s="9" t="s">
        <v>31</v>
      </c>
      <c r="J10" s="11"/>
      <c r="K10" s="11"/>
    </row>
    <row r="11" customFormat="false" ht="15" hidden="false" customHeight="false" outlineLevel="0" collapsed="false">
      <c r="A11" s="12" t="n">
        <v>10</v>
      </c>
      <c r="B11" s="13" t="s">
        <v>59</v>
      </c>
      <c r="C11" s="14" t="s">
        <v>49</v>
      </c>
      <c r="D11" s="12" t="s">
        <v>50</v>
      </c>
      <c r="E11" s="15" t="s">
        <v>60</v>
      </c>
      <c r="F11" s="16" t="s">
        <v>56</v>
      </c>
      <c r="G11" s="15" t="s">
        <v>61</v>
      </c>
      <c r="H11" s="12" t="n">
        <v>2</v>
      </c>
      <c r="I11" s="14" t="s">
        <v>31</v>
      </c>
      <c r="J11" s="16"/>
      <c r="K11" s="16"/>
    </row>
    <row r="12" customFormat="false" ht="15" hidden="false" customHeight="false" outlineLevel="0" collapsed="false">
      <c r="A12" s="7" t="n">
        <v>11</v>
      </c>
      <c r="B12" s="8" t="s">
        <v>62</v>
      </c>
      <c r="C12" s="9" t="s">
        <v>49</v>
      </c>
      <c r="D12" s="7" t="s">
        <v>50</v>
      </c>
      <c r="E12" s="10" t="s">
        <v>63</v>
      </c>
      <c r="F12" s="11" t="s">
        <v>59</v>
      </c>
      <c r="G12" s="10" t="s">
        <v>64</v>
      </c>
      <c r="H12" s="7" t="n">
        <v>1</v>
      </c>
      <c r="I12" s="9" t="s">
        <v>31</v>
      </c>
      <c r="J12" s="11"/>
      <c r="K12" s="11"/>
    </row>
    <row r="13" customFormat="false" ht="15" hidden="false" customHeight="false" outlineLevel="0" collapsed="false">
      <c r="A13" s="12" t="n">
        <v>12</v>
      </c>
      <c r="B13" s="13" t="s">
        <v>65</v>
      </c>
      <c r="C13" s="14" t="s">
        <v>49</v>
      </c>
      <c r="D13" s="12" t="s">
        <v>50</v>
      </c>
      <c r="E13" s="15" t="s">
        <v>66</v>
      </c>
      <c r="F13" s="16" t="s">
        <v>67</v>
      </c>
      <c r="G13" s="15" t="s">
        <v>68</v>
      </c>
      <c r="H13" s="12" t="n">
        <v>2</v>
      </c>
      <c r="I13" s="14" t="s">
        <v>31</v>
      </c>
      <c r="J13" s="16"/>
      <c r="K13" s="16"/>
    </row>
    <row r="14" customFormat="false" ht="15" hidden="false" customHeight="false" outlineLevel="0" collapsed="false">
      <c r="A14" s="7" t="n">
        <v>13</v>
      </c>
      <c r="B14" s="8" t="s">
        <v>69</v>
      </c>
      <c r="C14" s="9" t="s">
        <v>70</v>
      </c>
      <c r="D14" s="7" t="s">
        <v>71</v>
      </c>
      <c r="E14" s="10" t="s">
        <v>72</v>
      </c>
      <c r="F14" s="11" t="s">
        <v>53</v>
      </c>
      <c r="G14" s="10" t="s">
        <v>73</v>
      </c>
      <c r="H14" s="7" t="n">
        <v>2.5</v>
      </c>
      <c r="I14" s="9" t="s">
        <v>31</v>
      </c>
      <c r="J14" s="11"/>
      <c r="K14" s="11"/>
    </row>
    <row r="15" customFormat="false" ht="15" hidden="false" customHeight="false" outlineLevel="0" collapsed="false">
      <c r="A15" s="12" t="n">
        <v>14</v>
      </c>
      <c r="B15" s="13" t="s">
        <v>74</v>
      </c>
      <c r="C15" s="14" t="s">
        <v>70</v>
      </c>
      <c r="D15" s="12" t="s">
        <v>71</v>
      </c>
      <c r="E15" s="15" t="s">
        <v>75</v>
      </c>
      <c r="F15" s="16" t="s">
        <v>69</v>
      </c>
      <c r="G15" s="15" t="s">
        <v>76</v>
      </c>
      <c r="H15" s="12" t="n">
        <v>2</v>
      </c>
      <c r="I15" s="14" t="s">
        <v>31</v>
      </c>
      <c r="J15" s="16"/>
      <c r="K15" s="16"/>
    </row>
    <row r="16" customFormat="false" ht="15" hidden="false" customHeight="false" outlineLevel="0" collapsed="false">
      <c r="A16" s="7" t="n">
        <v>15</v>
      </c>
      <c r="B16" s="8" t="s">
        <v>77</v>
      </c>
      <c r="C16" s="9" t="s">
        <v>70</v>
      </c>
      <c r="D16" s="7" t="s">
        <v>71</v>
      </c>
      <c r="E16" s="10" t="s">
        <v>78</v>
      </c>
      <c r="F16" s="11" t="s">
        <v>69</v>
      </c>
      <c r="G16" s="10" t="s">
        <v>79</v>
      </c>
      <c r="H16" s="7" t="n">
        <v>1.5</v>
      </c>
      <c r="I16" s="9" t="s">
        <v>31</v>
      </c>
      <c r="J16" s="11"/>
      <c r="K16" s="11"/>
    </row>
    <row r="17" customFormat="false" ht="15" hidden="false" customHeight="false" outlineLevel="0" collapsed="false">
      <c r="A17" s="12" t="n">
        <v>16</v>
      </c>
      <c r="B17" s="13" t="s">
        <v>80</v>
      </c>
      <c r="C17" s="14" t="s">
        <v>70</v>
      </c>
      <c r="D17" s="12" t="s">
        <v>71</v>
      </c>
      <c r="E17" s="15" t="s">
        <v>81</v>
      </c>
      <c r="F17" s="16" t="s">
        <v>77</v>
      </c>
      <c r="G17" s="15" t="s">
        <v>82</v>
      </c>
      <c r="H17" s="12" t="n">
        <v>2</v>
      </c>
      <c r="I17" s="14" t="s">
        <v>31</v>
      </c>
      <c r="J17" s="16"/>
      <c r="K17" s="16"/>
    </row>
    <row r="18" customFormat="false" ht="15" hidden="false" customHeight="false" outlineLevel="0" collapsed="false">
      <c r="A18" s="7" t="n">
        <v>17</v>
      </c>
      <c r="B18" s="8" t="s">
        <v>83</v>
      </c>
      <c r="C18" s="9" t="s">
        <v>70</v>
      </c>
      <c r="D18" s="7" t="s">
        <v>71</v>
      </c>
      <c r="E18" s="10" t="s">
        <v>84</v>
      </c>
      <c r="F18" s="11" t="s">
        <v>80</v>
      </c>
      <c r="G18" s="10" t="s">
        <v>85</v>
      </c>
      <c r="H18" s="7" t="n">
        <v>3</v>
      </c>
      <c r="I18" s="9" t="s">
        <v>31</v>
      </c>
      <c r="J18" s="11"/>
      <c r="K18" s="11"/>
    </row>
    <row r="19" customFormat="false" ht="15" hidden="false" customHeight="false" outlineLevel="0" collapsed="false">
      <c r="A19" s="12" t="n">
        <v>18</v>
      </c>
      <c r="B19" s="13" t="s">
        <v>86</v>
      </c>
      <c r="C19" s="14" t="s">
        <v>70</v>
      </c>
      <c r="D19" s="12" t="s">
        <v>71</v>
      </c>
      <c r="E19" s="15" t="s">
        <v>87</v>
      </c>
      <c r="F19" s="16" t="s">
        <v>83</v>
      </c>
      <c r="G19" s="15" t="s">
        <v>88</v>
      </c>
      <c r="H19" s="12" t="n">
        <v>1.5</v>
      </c>
      <c r="I19" s="14" t="s">
        <v>31</v>
      </c>
      <c r="J19" s="16"/>
      <c r="K19" s="16"/>
    </row>
    <row r="20" customFormat="false" ht="15" hidden="false" customHeight="false" outlineLevel="0" collapsed="false">
      <c r="A20" s="7" t="n">
        <v>19</v>
      </c>
      <c r="B20" s="8" t="s">
        <v>89</v>
      </c>
      <c r="C20" s="9" t="s">
        <v>70</v>
      </c>
      <c r="D20" s="7" t="s">
        <v>71</v>
      </c>
      <c r="E20" s="10" t="s">
        <v>90</v>
      </c>
      <c r="F20" s="11" t="s">
        <v>86</v>
      </c>
      <c r="G20" s="10" t="s">
        <v>91</v>
      </c>
      <c r="H20" s="7" t="n">
        <v>2.5</v>
      </c>
      <c r="I20" s="9" t="s">
        <v>31</v>
      </c>
      <c r="J20" s="11"/>
      <c r="K20" s="11"/>
    </row>
    <row r="21" customFormat="false" ht="15" hidden="false" customHeight="false" outlineLevel="0" collapsed="false">
      <c r="A21" s="12" t="n">
        <v>20</v>
      </c>
      <c r="B21" s="13" t="s">
        <v>92</v>
      </c>
      <c r="C21" s="14" t="s">
        <v>70</v>
      </c>
      <c r="D21" s="12" t="s">
        <v>71</v>
      </c>
      <c r="E21" s="15" t="s">
        <v>93</v>
      </c>
      <c r="F21" s="16" t="s">
        <v>89</v>
      </c>
      <c r="G21" s="15" t="s">
        <v>94</v>
      </c>
      <c r="H21" s="12" t="n">
        <v>3</v>
      </c>
      <c r="I21" s="14" t="s">
        <v>31</v>
      </c>
      <c r="J21" s="16"/>
      <c r="K21" s="16"/>
    </row>
    <row r="22" customFormat="false" ht="15" hidden="false" customHeight="false" outlineLevel="0" collapsed="false">
      <c r="A22" s="7" t="n">
        <v>21</v>
      </c>
      <c r="B22" s="8" t="s">
        <v>95</v>
      </c>
      <c r="C22" s="9" t="s">
        <v>96</v>
      </c>
      <c r="D22" s="7" t="s">
        <v>97</v>
      </c>
      <c r="E22" s="10" t="s">
        <v>98</v>
      </c>
      <c r="F22" s="11" t="s">
        <v>89</v>
      </c>
      <c r="G22" s="11" t="s">
        <v>99</v>
      </c>
      <c r="H22" s="7" t="n">
        <v>1.5</v>
      </c>
      <c r="I22" s="9" t="s">
        <v>31</v>
      </c>
      <c r="J22" s="11"/>
      <c r="K22" s="11"/>
    </row>
    <row r="23" customFormat="false" ht="15" hidden="false" customHeight="false" outlineLevel="0" collapsed="false">
      <c r="A23" s="12" t="n">
        <v>22</v>
      </c>
      <c r="B23" s="13" t="s">
        <v>100</v>
      </c>
      <c r="C23" s="14" t="s">
        <v>96</v>
      </c>
      <c r="D23" s="12" t="s">
        <v>97</v>
      </c>
      <c r="E23" s="15" t="s">
        <v>101</v>
      </c>
      <c r="F23" s="16" t="s">
        <v>95</v>
      </c>
      <c r="G23" s="15" t="s">
        <v>102</v>
      </c>
      <c r="H23" s="12" t="n">
        <v>2</v>
      </c>
      <c r="I23" s="14" t="s">
        <v>31</v>
      </c>
      <c r="J23" s="16"/>
      <c r="K23" s="16"/>
    </row>
    <row r="24" customFormat="false" ht="15" hidden="false" customHeight="false" outlineLevel="0" collapsed="false">
      <c r="A24" s="7" t="n">
        <v>23</v>
      </c>
      <c r="B24" s="8" t="s">
        <v>103</v>
      </c>
      <c r="C24" s="9" t="s">
        <v>96</v>
      </c>
      <c r="D24" s="7" t="s">
        <v>97</v>
      </c>
      <c r="E24" s="10" t="s">
        <v>104</v>
      </c>
      <c r="F24" s="11" t="s">
        <v>100</v>
      </c>
      <c r="G24" s="10" t="s">
        <v>105</v>
      </c>
      <c r="H24" s="7" t="n">
        <v>2.5</v>
      </c>
      <c r="I24" s="9" t="s">
        <v>31</v>
      </c>
      <c r="J24" s="11"/>
      <c r="K24" s="11"/>
    </row>
    <row r="25" customFormat="false" ht="15" hidden="false" customHeight="false" outlineLevel="0" collapsed="false">
      <c r="A25" s="12" t="n">
        <v>24</v>
      </c>
      <c r="B25" s="13" t="s">
        <v>106</v>
      </c>
      <c r="C25" s="14" t="s">
        <v>96</v>
      </c>
      <c r="D25" s="12" t="s">
        <v>97</v>
      </c>
      <c r="E25" s="15" t="s">
        <v>107</v>
      </c>
      <c r="F25" s="16" t="s">
        <v>103</v>
      </c>
      <c r="G25" s="15" t="s">
        <v>108</v>
      </c>
      <c r="H25" s="12" t="n">
        <v>1.5</v>
      </c>
      <c r="I25" s="14" t="s">
        <v>31</v>
      </c>
      <c r="J25" s="16"/>
      <c r="K25" s="16"/>
    </row>
    <row r="26" customFormat="false" ht="15" hidden="false" customHeight="false" outlineLevel="0" collapsed="false">
      <c r="A26" s="7" t="n">
        <v>25</v>
      </c>
      <c r="B26" s="8" t="s">
        <v>109</v>
      </c>
      <c r="C26" s="9" t="s">
        <v>96</v>
      </c>
      <c r="D26" s="7" t="s">
        <v>97</v>
      </c>
      <c r="E26" s="10" t="s">
        <v>110</v>
      </c>
      <c r="F26" s="11" t="s">
        <v>106</v>
      </c>
      <c r="G26" s="10" t="s">
        <v>111</v>
      </c>
      <c r="H26" s="7" t="n">
        <v>2.5</v>
      </c>
      <c r="I26" s="9" t="s">
        <v>31</v>
      </c>
      <c r="J26" s="11"/>
      <c r="K26" s="11"/>
    </row>
    <row r="27" customFormat="false" ht="15" hidden="false" customHeight="false" outlineLevel="0" collapsed="false">
      <c r="A27" s="12" t="n">
        <v>26</v>
      </c>
      <c r="B27" s="13" t="s">
        <v>112</v>
      </c>
      <c r="C27" s="14" t="s">
        <v>113</v>
      </c>
      <c r="D27" s="12" t="s">
        <v>114</v>
      </c>
      <c r="E27" s="15" t="s">
        <v>115</v>
      </c>
      <c r="F27" s="16" t="s">
        <v>116</v>
      </c>
      <c r="G27" s="15" t="s">
        <v>117</v>
      </c>
      <c r="H27" s="12" t="n">
        <v>2.5</v>
      </c>
      <c r="I27" s="14" t="s">
        <v>31</v>
      </c>
      <c r="J27" s="16"/>
      <c r="K27" s="16"/>
    </row>
    <row r="28" customFormat="false" ht="15" hidden="false" customHeight="false" outlineLevel="0" collapsed="false">
      <c r="A28" s="7" t="n">
        <v>27</v>
      </c>
      <c r="B28" s="8" t="s">
        <v>118</v>
      </c>
      <c r="C28" s="9" t="s">
        <v>113</v>
      </c>
      <c r="D28" s="7" t="s">
        <v>114</v>
      </c>
      <c r="E28" s="10" t="s">
        <v>119</v>
      </c>
      <c r="F28" s="11" t="s">
        <v>92</v>
      </c>
      <c r="G28" s="10" t="s">
        <v>120</v>
      </c>
      <c r="H28" s="7" t="n">
        <v>2</v>
      </c>
      <c r="I28" s="9" t="s">
        <v>31</v>
      </c>
      <c r="J28" s="11"/>
      <c r="K28" s="11"/>
    </row>
    <row r="29" customFormat="false" ht="15" hidden="false" customHeight="false" outlineLevel="0" collapsed="false">
      <c r="A29" s="12" t="n">
        <v>28</v>
      </c>
      <c r="B29" s="13" t="s">
        <v>121</v>
      </c>
      <c r="C29" s="14" t="s">
        <v>113</v>
      </c>
      <c r="D29" s="12" t="s">
        <v>114</v>
      </c>
      <c r="E29" s="15" t="s">
        <v>122</v>
      </c>
      <c r="F29" s="16" t="s">
        <v>112</v>
      </c>
      <c r="G29" s="15" t="s">
        <v>123</v>
      </c>
      <c r="H29" s="12" t="n">
        <v>2</v>
      </c>
      <c r="I29" s="14" t="s">
        <v>31</v>
      </c>
      <c r="J29" s="16"/>
      <c r="K29" s="16"/>
    </row>
    <row r="30" customFormat="false" ht="15" hidden="false" customHeight="false" outlineLevel="0" collapsed="false">
      <c r="A30" s="7" t="n">
        <v>29</v>
      </c>
      <c r="B30" s="8" t="s">
        <v>124</v>
      </c>
      <c r="C30" s="9" t="s">
        <v>113</v>
      </c>
      <c r="D30" s="7" t="s">
        <v>114</v>
      </c>
      <c r="E30" s="10" t="s">
        <v>125</v>
      </c>
      <c r="F30" s="11" t="s">
        <v>112</v>
      </c>
      <c r="G30" s="10" t="s">
        <v>126</v>
      </c>
      <c r="H30" s="7" t="n">
        <v>2</v>
      </c>
      <c r="I30" s="9" t="s">
        <v>31</v>
      </c>
      <c r="J30" s="11"/>
      <c r="K30" s="11"/>
    </row>
    <row r="31" customFormat="false" ht="15" hidden="false" customHeight="false" outlineLevel="0" collapsed="false">
      <c r="A31" s="12" t="n">
        <v>30</v>
      </c>
      <c r="B31" s="13" t="s">
        <v>127</v>
      </c>
      <c r="C31" s="14" t="s">
        <v>113</v>
      </c>
      <c r="D31" s="12" t="s">
        <v>114</v>
      </c>
      <c r="E31" s="15" t="s">
        <v>128</v>
      </c>
      <c r="F31" s="16" t="s">
        <v>129</v>
      </c>
      <c r="G31" s="15" t="s">
        <v>130</v>
      </c>
      <c r="H31" s="12" t="n">
        <v>1.5</v>
      </c>
      <c r="I31" s="14" t="s">
        <v>31</v>
      </c>
      <c r="J31" s="16"/>
      <c r="K31" s="16"/>
    </row>
    <row r="32" customFormat="false" ht="15" hidden="false" customHeight="false" outlineLevel="0" collapsed="false">
      <c r="A32" s="7" t="n">
        <v>31</v>
      </c>
      <c r="B32" s="8" t="s">
        <v>131</v>
      </c>
      <c r="C32" s="9" t="s">
        <v>132</v>
      </c>
      <c r="D32" s="7" t="s">
        <v>133</v>
      </c>
      <c r="E32" s="10" t="s">
        <v>134</v>
      </c>
      <c r="F32" s="11" t="s">
        <v>92</v>
      </c>
      <c r="G32" s="10" t="s">
        <v>135</v>
      </c>
      <c r="H32" s="7" t="n">
        <v>1.5</v>
      </c>
      <c r="I32" s="9" t="s">
        <v>31</v>
      </c>
      <c r="J32" s="11"/>
      <c r="K32" s="11"/>
    </row>
    <row r="33" customFormat="false" ht="15" hidden="false" customHeight="false" outlineLevel="0" collapsed="false">
      <c r="A33" s="12" t="n">
        <v>32</v>
      </c>
      <c r="B33" s="13" t="s">
        <v>136</v>
      </c>
      <c r="C33" s="14" t="s">
        <v>132</v>
      </c>
      <c r="D33" s="12" t="s">
        <v>133</v>
      </c>
      <c r="E33" s="15" t="s">
        <v>137</v>
      </c>
      <c r="F33" s="16" t="s">
        <v>131</v>
      </c>
      <c r="G33" s="15" t="s">
        <v>138</v>
      </c>
      <c r="H33" s="12" t="n">
        <v>2</v>
      </c>
      <c r="I33" s="14" t="s">
        <v>31</v>
      </c>
      <c r="J33" s="16"/>
      <c r="K33" s="16"/>
    </row>
    <row r="34" customFormat="false" ht="15" hidden="false" customHeight="false" outlineLevel="0" collapsed="false">
      <c r="A34" s="7" t="n">
        <v>33</v>
      </c>
      <c r="B34" s="8" t="s">
        <v>139</v>
      </c>
      <c r="C34" s="9" t="s">
        <v>132</v>
      </c>
      <c r="D34" s="7" t="s">
        <v>133</v>
      </c>
      <c r="E34" s="11" t="s">
        <v>140</v>
      </c>
      <c r="F34" s="11" t="s">
        <v>131</v>
      </c>
      <c r="G34" s="10" t="s">
        <v>141</v>
      </c>
      <c r="H34" s="7" t="n">
        <v>2</v>
      </c>
      <c r="I34" s="9" t="s">
        <v>31</v>
      </c>
      <c r="J34" s="11"/>
      <c r="K34" s="11"/>
    </row>
    <row r="35" customFormat="false" ht="15" hidden="false" customHeight="false" outlineLevel="0" collapsed="false">
      <c r="A35" s="12" t="n">
        <v>34</v>
      </c>
      <c r="B35" s="13" t="s">
        <v>142</v>
      </c>
      <c r="C35" s="14" t="s">
        <v>132</v>
      </c>
      <c r="D35" s="12" t="s">
        <v>133</v>
      </c>
      <c r="E35" s="16" t="s">
        <v>143</v>
      </c>
      <c r="F35" s="16" t="s">
        <v>131</v>
      </c>
      <c r="G35" s="15" t="s">
        <v>144</v>
      </c>
      <c r="H35" s="12" t="n">
        <v>2.5</v>
      </c>
      <c r="I35" s="14" t="s">
        <v>31</v>
      </c>
      <c r="J35" s="16"/>
      <c r="K35" s="16"/>
    </row>
    <row r="36" customFormat="false" ht="15" hidden="false" customHeight="false" outlineLevel="0" collapsed="false">
      <c r="A36" s="7" t="n">
        <v>35</v>
      </c>
      <c r="B36" s="8" t="s">
        <v>145</v>
      </c>
      <c r="C36" s="9" t="s">
        <v>132</v>
      </c>
      <c r="D36" s="7" t="s">
        <v>133</v>
      </c>
      <c r="E36" s="10" t="s">
        <v>146</v>
      </c>
      <c r="F36" s="11" t="s">
        <v>147</v>
      </c>
      <c r="G36" s="10" t="s">
        <v>148</v>
      </c>
      <c r="H36" s="7" t="n">
        <v>1</v>
      </c>
      <c r="I36" s="9" t="s">
        <v>31</v>
      </c>
      <c r="J36" s="11"/>
      <c r="K36" s="11"/>
    </row>
    <row r="37" customFormat="false" ht="15" hidden="false" customHeight="false" outlineLevel="0" collapsed="false">
      <c r="A37" s="12" t="n">
        <v>36</v>
      </c>
      <c r="B37" s="13" t="s">
        <v>149</v>
      </c>
      <c r="C37" s="14" t="s">
        <v>150</v>
      </c>
      <c r="D37" s="12" t="s">
        <v>151</v>
      </c>
      <c r="E37" s="15" t="s">
        <v>152</v>
      </c>
      <c r="F37" s="16" t="s">
        <v>127</v>
      </c>
      <c r="G37" s="15" t="s">
        <v>153</v>
      </c>
      <c r="H37" s="12" t="n">
        <v>2</v>
      </c>
      <c r="I37" s="14" t="s">
        <v>31</v>
      </c>
      <c r="J37" s="16"/>
      <c r="K37" s="16"/>
    </row>
    <row r="38" customFormat="false" ht="15" hidden="false" customHeight="false" outlineLevel="0" collapsed="false">
      <c r="A38" s="7" t="n">
        <v>37</v>
      </c>
      <c r="B38" s="8" t="s">
        <v>154</v>
      </c>
      <c r="C38" s="9" t="s">
        <v>150</v>
      </c>
      <c r="D38" s="7" t="s">
        <v>151</v>
      </c>
      <c r="E38" s="10" t="s">
        <v>155</v>
      </c>
      <c r="F38" s="11" t="s">
        <v>149</v>
      </c>
      <c r="G38" s="10" t="s">
        <v>156</v>
      </c>
      <c r="H38" s="7" t="n">
        <v>2.5</v>
      </c>
      <c r="I38" s="9" t="s">
        <v>31</v>
      </c>
      <c r="J38" s="11"/>
      <c r="K38" s="11"/>
    </row>
    <row r="39" customFormat="false" ht="15" hidden="false" customHeight="false" outlineLevel="0" collapsed="false">
      <c r="A39" s="12" t="n">
        <v>38</v>
      </c>
      <c r="B39" s="13" t="s">
        <v>157</v>
      </c>
      <c r="C39" s="14" t="s">
        <v>150</v>
      </c>
      <c r="D39" s="12" t="s">
        <v>151</v>
      </c>
      <c r="E39" s="15" t="s">
        <v>158</v>
      </c>
      <c r="F39" s="16" t="s">
        <v>149</v>
      </c>
      <c r="G39" s="15" t="s">
        <v>159</v>
      </c>
      <c r="H39" s="12" t="n">
        <v>3</v>
      </c>
      <c r="I39" s="14" t="s">
        <v>31</v>
      </c>
      <c r="J39" s="16"/>
      <c r="K39" s="16"/>
    </row>
    <row r="40" customFormat="false" ht="15" hidden="false" customHeight="false" outlineLevel="0" collapsed="false">
      <c r="A40" s="7" t="n">
        <v>39</v>
      </c>
      <c r="B40" s="8" t="s">
        <v>160</v>
      </c>
      <c r="C40" s="9" t="s">
        <v>150</v>
      </c>
      <c r="D40" s="7" t="s">
        <v>151</v>
      </c>
      <c r="E40" s="10" t="s">
        <v>161</v>
      </c>
      <c r="F40" s="11" t="s">
        <v>162</v>
      </c>
      <c r="G40" s="10" t="s">
        <v>163</v>
      </c>
      <c r="H40" s="7" t="n">
        <v>2.5</v>
      </c>
      <c r="I40" s="9" t="s">
        <v>31</v>
      </c>
      <c r="J40" s="11"/>
      <c r="K40" s="11"/>
    </row>
    <row r="41" customFormat="false" ht="15" hidden="false" customHeight="false" outlineLevel="0" collapsed="false">
      <c r="A41" s="12" t="n">
        <v>40</v>
      </c>
      <c r="B41" s="13" t="s">
        <v>164</v>
      </c>
      <c r="C41" s="14" t="s">
        <v>165</v>
      </c>
      <c r="D41" s="12" t="s">
        <v>166</v>
      </c>
      <c r="E41" s="15" t="s">
        <v>167</v>
      </c>
      <c r="F41" s="16" t="s">
        <v>65</v>
      </c>
      <c r="G41" s="15" t="s">
        <v>168</v>
      </c>
      <c r="H41" s="12" t="n">
        <v>2</v>
      </c>
      <c r="I41" s="14" t="s">
        <v>31</v>
      </c>
      <c r="J41" s="16"/>
      <c r="K41" s="16"/>
    </row>
    <row r="42" customFormat="false" ht="15" hidden="false" customHeight="false" outlineLevel="0" collapsed="false">
      <c r="A42" s="7" t="n">
        <v>41</v>
      </c>
      <c r="B42" s="8" t="s">
        <v>169</v>
      </c>
      <c r="C42" s="9" t="s">
        <v>165</v>
      </c>
      <c r="D42" s="9" t="s">
        <v>170</v>
      </c>
      <c r="E42" s="10" t="s">
        <v>171</v>
      </c>
      <c r="F42" s="11" t="s">
        <v>38</v>
      </c>
      <c r="G42" s="10" t="s">
        <v>172</v>
      </c>
      <c r="H42" s="7" t="n">
        <v>2</v>
      </c>
      <c r="I42" s="9" t="s">
        <v>31</v>
      </c>
      <c r="J42" s="11"/>
      <c r="K42" s="11"/>
    </row>
    <row r="43" customFormat="false" ht="15" hidden="false" customHeight="false" outlineLevel="0" collapsed="false">
      <c r="A43" s="12" t="n">
        <v>42</v>
      </c>
      <c r="B43" s="13" t="s">
        <v>173</v>
      </c>
      <c r="C43" s="14" t="s">
        <v>165</v>
      </c>
      <c r="D43" s="14" t="s">
        <v>174</v>
      </c>
      <c r="E43" s="15" t="s">
        <v>175</v>
      </c>
      <c r="F43" s="15" t="s">
        <v>176</v>
      </c>
      <c r="G43" s="15" t="s">
        <v>177</v>
      </c>
      <c r="H43" s="12" t="n">
        <v>2.5</v>
      </c>
      <c r="I43" s="14" t="s">
        <v>31</v>
      </c>
      <c r="J43" s="16"/>
      <c r="K43" s="16"/>
    </row>
    <row r="44" customFormat="false" ht="15" hidden="false" customHeight="false" outlineLevel="0" collapsed="false">
      <c r="A44" s="7" t="n">
        <v>43</v>
      </c>
      <c r="B44" s="8" t="s">
        <v>178</v>
      </c>
      <c r="C44" s="9" t="s">
        <v>165</v>
      </c>
      <c r="D44" s="9" t="s">
        <v>174</v>
      </c>
      <c r="E44" s="10" t="s">
        <v>179</v>
      </c>
      <c r="F44" s="10" t="s">
        <v>176</v>
      </c>
      <c r="G44" s="10" t="s">
        <v>180</v>
      </c>
      <c r="H44" s="7" t="n">
        <v>1.5</v>
      </c>
      <c r="I44" s="9" t="s">
        <v>31</v>
      </c>
      <c r="J44" s="11"/>
      <c r="K44" s="11"/>
    </row>
    <row r="45" customFormat="false" ht="21.75" hidden="false" customHeight="true" outlineLevel="0" collapsed="false">
      <c r="A45" s="17" t="s">
        <v>181</v>
      </c>
      <c r="B45" s="17"/>
      <c r="C45" s="17"/>
      <c r="D45" s="17"/>
      <c r="E45" s="17"/>
      <c r="F45" s="17"/>
      <c r="G45" s="17"/>
      <c r="H45" s="18" t="n">
        <f aca="false">SUM(H2:H44)</f>
        <v>82</v>
      </c>
      <c r="I45" s="19" t="str">
        <f aca="false">COUNTIF(I2:I44,"已验收")&amp;" / 43 已验收"</f>
        <v>0 / 43 已验收</v>
      </c>
      <c r="J45" s="19"/>
      <c r="K45" s="19"/>
    </row>
  </sheetData>
  <autoFilter ref="A1:K44"/>
  <mergeCells count="2">
    <mergeCell ref="A45:G45"/>
    <mergeCell ref="I45:K45"/>
  </mergeCells>
  <dataValidations count="1">
    <dataValidation allowBlank="true" error="请选择：未开始 / 进行中 / 已完成 / 已验收" errorStyle="stop" errorTitle="无效状态" operator="between" showDropDown="false" showErrorMessage="false" showInputMessage="false" sqref="I2:I44" type="list">
      <formula1>"未开始,进行中,已完成,已验收"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60"/>
  </cols>
  <sheetData>
    <row r="1" customFormat="false" ht="25.5" hidden="false" customHeight="true" outlineLevel="0" collapsed="false">
      <c r="A1" s="6" t="s">
        <v>16</v>
      </c>
      <c r="B1" s="6" t="s">
        <v>182</v>
      </c>
      <c r="C1" s="6" t="s">
        <v>17</v>
      </c>
      <c r="D1" s="6" t="s">
        <v>183</v>
      </c>
      <c r="E1" s="6" t="s">
        <v>21</v>
      </c>
      <c r="F1" s="6" t="s">
        <v>184</v>
      </c>
      <c r="G1" s="6" t="s">
        <v>185</v>
      </c>
    </row>
    <row r="2" customFormat="false" ht="15" hidden="false" customHeight="false" outlineLevel="0" collapsed="false">
      <c r="A2" s="9" t="s">
        <v>26</v>
      </c>
      <c r="B2" s="10" t="s">
        <v>186</v>
      </c>
      <c r="C2" s="7" t="s">
        <v>27</v>
      </c>
      <c r="D2" s="7" t="n">
        <f aca="false">COUNTIF(任务总表!$C$2:$C$44,A2)</f>
        <v>6</v>
      </c>
      <c r="E2" s="20" t="n">
        <f aca="false">SUMIF(任务总表!$C$2:$C$44,A2,任务总表!$H$2:$H$44)</f>
        <v>5</v>
      </c>
      <c r="F2" s="21" t="n">
        <f aca="false">IF($E$10=0,0,E2/$E$10)</f>
        <v>0.0609756097560976</v>
      </c>
      <c r="G2" s="11" t="s">
        <v>187</v>
      </c>
    </row>
    <row r="3" customFormat="false" ht="15" hidden="false" customHeight="false" outlineLevel="0" collapsed="false">
      <c r="A3" s="14" t="s">
        <v>49</v>
      </c>
      <c r="B3" s="15" t="s">
        <v>188</v>
      </c>
      <c r="C3" s="12" t="s">
        <v>50</v>
      </c>
      <c r="D3" s="12" t="n">
        <f aca="false">COUNTIF(任务总表!$C$2:$C$44,A3)</f>
        <v>6</v>
      </c>
      <c r="E3" s="22" t="n">
        <f aca="false">SUMIF(任务总表!$C$2:$C$44,A3,任务总表!$H$2:$H$44)</f>
        <v>12</v>
      </c>
      <c r="F3" s="23" t="n">
        <f aca="false">IF($E$10=0,0,E3/$E$10)</f>
        <v>0.146341463414634</v>
      </c>
      <c r="G3" s="16" t="s">
        <v>189</v>
      </c>
    </row>
    <row r="4" customFormat="false" ht="15" hidden="false" customHeight="false" outlineLevel="0" collapsed="false">
      <c r="A4" s="9" t="s">
        <v>70</v>
      </c>
      <c r="B4" s="10" t="s">
        <v>190</v>
      </c>
      <c r="C4" s="7" t="s">
        <v>71</v>
      </c>
      <c r="D4" s="7" t="n">
        <f aca="false">COUNTIF(任务总表!$C$2:$C$44,A4)</f>
        <v>8</v>
      </c>
      <c r="E4" s="20" t="n">
        <f aca="false">SUMIF(任务总表!$C$2:$C$44,A4,任务总表!$H$2:$H$44)</f>
        <v>18</v>
      </c>
      <c r="F4" s="21" t="n">
        <f aca="false">IF($E$10=0,0,E4/$E$10)</f>
        <v>0.219512195121951</v>
      </c>
      <c r="G4" s="11" t="s">
        <v>191</v>
      </c>
    </row>
    <row r="5" customFormat="false" ht="15" hidden="false" customHeight="false" outlineLevel="0" collapsed="false">
      <c r="A5" s="14" t="s">
        <v>96</v>
      </c>
      <c r="B5" s="15" t="s">
        <v>192</v>
      </c>
      <c r="C5" s="12" t="s">
        <v>97</v>
      </c>
      <c r="D5" s="12" t="n">
        <f aca="false">COUNTIF(任务总表!$C$2:$C$44,A5)</f>
        <v>5</v>
      </c>
      <c r="E5" s="22" t="n">
        <f aca="false">SUMIF(任务总表!$C$2:$C$44,A5,任务总表!$H$2:$H$44)</f>
        <v>10</v>
      </c>
      <c r="F5" s="23" t="n">
        <f aca="false">IF($E$10=0,0,E5/$E$10)</f>
        <v>0.121951219512195</v>
      </c>
      <c r="G5" s="16" t="s">
        <v>193</v>
      </c>
    </row>
    <row r="6" customFormat="false" ht="15" hidden="false" customHeight="false" outlineLevel="0" collapsed="false">
      <c r="A6" s="9" t="s">
        <v>113</v>
      </c>
      <c r="B6" s="10" t="s">
        <v>194</v>
      </c>
      <c r="C6" s="7" t="s">
        <v>114</v>
      </c>
      <c r="D6" s="7" t="n">
        <f aca="false">COUNTIF(任务总表!$C$2:$C$44,A6)</f>
        <v>5</v>
      </c>
      <c r="E6" s="20" t="n">
        <f aca="false">SUMIF(任务总表!$C$2:$C$44,A6,任务总表!$H$2:$H$44)</f>
        <v>10</v>
      </c>
      <c r="F6" s="21" t="n">
        <f aca="false">IF($E$10=0,0,E6/$E$10)</f>
        <v>0.121951219512195</v>
      </c>
      <c r="G6" s="11" t="s">
        <v>195</v>
      </c>
    </row>
    <row r="7" customFormat="false" ht="15" hidden="false" customHeight="false" outlineLevel="0" collapsed="false">
      <c r="A7" s="14" t="s">
        <v>132</v>
      </c>
      <c r="B7" s="15" t="s">
        <v>196</v>
      </c>
      <c r="C7" s="12" t="s">
        <v>133</v>
      </c>
      <c r="D7" s="12" t="n">
        <f aca="false">COUNTIF(任务总表!$C$2:$C$44,A7)</f>
        <v>5</v>
      </c>
      <c r="E7" s="22" t="n">
        <f aca="false">SUMIF(任务总表!$C$2:$C$44,A7,任务总表!$H$2:$H$44)</f>
        <v>9</v>
      </c>
      <c r="F7" s="23" t="n">
        <f aca="false">IF($E$10=0,0,E7/$E$10)</f>
        <v>0.109756097560976</v>
      </c>
      <c r="G7" s="16" t="s">
        <v>197</v>
      </c>
    </row>
    <row r="8" customFormat="false" ht="15" hidden="false" customHeight="false" outlineLevel="0" collapsed="false">
      <c r="A8" s="9" t="s">
        <v>150</v>
      </c>
      <c r="B8" s="10" t="s">
        <v>198</v>
      </c>
      <c r="C8" s="7" t="s">
        <v>151</v>
      </c>
      <c r="D8" s="7" t="n">
        <f aca="false">COUNTIF(任务总表!$C$2:$C$44,A8)</f>
        <v>4</v>
      </c>
      <c r="E8" s="20" t="n">
        <f aca="false">SUMIF(任务总表!$C$2:$C$44,A8,任务总表!$H$2:$H$44)</f>
        <v>10</v>
      </c>
      <c r="F8" s="21" t="n">
        <f aca="false">IF($E$10=0,0,E8/$E$10)</f>
        <v>0.121951219512195</v>
      </c>
      <c r="G8" s="11" t="s">
        <v>199</v>
      </c>
    </row>
    <row r="9" customFormat="false" ht="15" hidden="false" customHeight="false" outlineLevel="0" collapsed="false">
      <c r="A9" s="14" t="s">
        <v>165</v>
      </c>
      <c r="B9" s="15" t="s">
        <v>200</v>
      </c>
      <c r="C9" s="12" t="s">
        <v>29</v>
      </c>
      <c r="D9" s="12" t="n">
        <f aca="false">COUNTIF(任务总表!$C$2:$C$44,A9)</f>
        <v>4</v>
      </c>
      <c r="E9" s="22" t="n">
        <f aca="false">SUMIF(任务总表!$C$2:$C$44,A9,任务总表!$H$2:$H$44)</f>
        <v>8</v>
      </c>
      <c r="F9" s="23" t="n">
        <f aca="false">IF($E$10=0,0,E9/$E$10)</f>
        <v>0.0975609756097561</v>
      </c>
      <c r="G9" s="15" t="s">
        <v>201</v>
      </c>
    </row>
    <row r="10" customFormat="false" ht="21.75" hidden="false" customHeight="true" outlineLevel="0" collapsed="false">
      <c r="A10" s="17" t="s">
        <v>202</v>
      </c>
      <c r="B10" s="17"/>
      <c r="C10" s="17"/>
      <c r="D10" s="24" t="n">
        <f aca="false">SUM(D2:D9)</f>
        <v>43</v>
      </c>
      <c r="E10" s="18" t="n">
        <f aca="false">SUM(E2:E9)</f>
        <v>82</v>
      </c>
      <c r="F10" s="25" t="n">
        <f aca="false">SUM(F2:F9)</f>
        <v>1</v>
      </c>
      <c r="G10" s="26" t="str">
        <f aca="false">"估算总工作量 "&amp;E10&amp;" 人日，为规划参考值而非工期承诺"</f>
        <v>估算总工作量 82 人日，为规划参考值而非工期承诺</v>
      </c>
    </row>
  </sheetData>
  <mergeCells count="1"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68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6" t="s">
        <v>17</v>
      </c>
      <c r="B1" s="6" t="s">
        <v>203</v>
      </c>
      <c r="C1" s="6" t="s">
        <v>204</v>
      </c>
      <c r="D1" s="6" t="s">
        <v>205</v>
      </c>
      <c r="E1" s="6" t="s">
        <v>22</v>
      </c>
    </row>
    <row r="2" customFormat="false" ht="15" hidden="false" customHeight="false" outlineLevel="0" collapsed="false">
      <c r="A2" s="8" t="s">
        <v>27</v>
      </c>
      <c r="B2" s="10" t="s">
        <v>206</v>
      </c>
      <c r="C2" s="9" t="s">
        <v>26</v>
      </c>
      <c r="D2" s="11" t="s">
        <v>207</v>
      </c>
      <c r="E2" s="9" t="s">
        <v>208</v>
      </c>
    </row>
    <row r="3" customFormat="false" ht="15" hidden="false" customHeight="false" outlineLevel="0" collapsed="false">
      <c r="A3" s="13" t="s">
        <v>50</v>
      </c>
      <c r="B3" s="15" t="s">
        <v>209</v>
      </c>
      <c r="C3" s="14" t="s">
        <v>49</v>
      </c>
      <c r="D3" s="15" t="s">
        <v>210</v>
      </c>
      <c r="E3" s="14" t="s">
        <v>208</v>
      </c>
    </row>
    <row r="4" customFormat="false" ht="15" hidden="false" customHeight="false" outlineLevel="0" collapsed="false">
      <c r="A4" s="8" t="s">
        <v>71</v>
      </c>
      <c r="B4" s="10" t="s">
        <v>211</v>
      </c>
      <c r="C4" s="9" t="s">
        <v>70</v>
      </c>
      <c r="D4" s="10" t="s">
        <v>212</v>
      </c>
      <c r="E4" s="9" t="s">
        <v>208</v>
      </c>
    </row>
    <row r="5" customFormat="false" ht="15" hidden="false" customHeight="false" outlineLevel="0" collapsed="false">
      <c r="A5" s="13" t="s">
        <v>97</v>
      </c>
      <c r="B5" s="15" t="s">
        <v>213</v>
      </c>
      <c r="C5" s="14" t="s">
        <v>96</v>
      </c>
      <c r="D5" s="15" t="s">
        <v>214</v>
      </c>
      <c r="E5" s="14" t="s">
        <v>208</v>
      </c>
    </row>
    <row r="6" customFormat="false" ht="15" hidden="false" customHeight="false" outlineLevel="0" collapsed="false">
      <c r="A6" s="8" t="s">
        <v>114</v>
      </c>
      <c r="B6" s="11" t="s">
        <v>215</v>
      </c>
      <c r="C6" s="9" t="s">
        <v>113</v>
      </c>
      <c r="D6" s="10" t="s">
        <v>216</v>
      </c>
      <c r="E6" s="9" t="s">
        <v>208</v>
      </c>
    </row>
    <row r="7" customFormat="false" ht="15" hidden="false" customHeight="false" outlineLevel="0" collapsed="false">
      <c r="A7" s="13" t="s">
        <v>133</v>
      </c>
      <c r="B7" s="15" t="s">
        <v>196</v>
      </c>
      <c r="C7" s="14" t="s">
        <v>132</v>
      </c>
      <c r="D7" s="15" t="s">
        <v>217</v>
      </c>
      <c r="E7" s="14" t="s">
        <v>208</v>
      </c>
    </row>
    <row r="8" customFormat="false" ht="15" hidden="false" customHeight="false" outlineLevel="0" collapsed="false">
      <c r="A8" s="8" t="s">
        <v>151</v>
      </c>
      <c r="B8" s="10" t="s">
        <v>198</v>
      </c>
      <c r="C8" s="9" t="s">
        <v>150</v>
      </c>
      <c r="D8" s="10" t="s">
        <v>218</v>
      </c>
      <c r="E8" s="9" t="s">
        <v>208</v>
      </c>
    </row>
  </sheetData>
  <dataValidations count="1">
    <dataValidation allowBlank="true" errorStyle="stop" operator="between" showDropDown="false" showErrorMessage="false" showInputMessage="false" sqref="E2:E8" type="list">
      <formula1>"未达成,进行中,已达成"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2026-10-18T07:29:01Z</dcterms:created>
  <dc:creator>openpyxl</dc:creator>
  <dc:description/>
  <dc:language>en-US</dc:language>
  <cp:lastModifiedBy/>
  <dcterms:modified xsi:type="dcterms:W3CDTF">2026-10-18T07:29:01Z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